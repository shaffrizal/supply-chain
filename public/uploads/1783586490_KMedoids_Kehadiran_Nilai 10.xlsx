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0" tabRatio="500"/>
  </bookViews>
  <sheets>
    <sheet name="K-Medoids" sheetId="1" r:id="rId1"/>
  </sheets>
  <calcPr calcId="144525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50" i="1" l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J33" i="1"/>
  <c r="I33" i="1"/>
  <c r="E33" i="1"/>
  <c r="E52" i="1" s="1"/>
  <c r="D33" i="1"/>
  <c r="D52" i="1" s="1"/>
  <c r="C33" i="1"/>
  <c r="B33" i="1"/>
  <c r="J32" i="1"/>
  <c r="I32" i="1"/>
  <c r="E32" i="1"/>
  <c r="D32" i="1"/>
  <c r="C32" i="1"/>
  <c r="B32" i="1"/>
  <c r="J31" i="1"/>
  <c r="I31" i="1"/>
  <c r="E31" i="1"/>
  <c r="E51" i="1" s="1"/>
  <c r="D31" i="1"/>
  <c r="D51" i="1" s="1"/>
  <c r="C31" i="1"/>
  <c r="B31" i="1"/>
  <c r="E26" i="1"/>
  <c r="D26" i="1"/>
  <c r="J24" i="1" s="1"/>
  <c r="E25" i="1"/>
  <c r="K17" i="1" s="1"/>
  <c r="D25" i="1"/>
  <c r="X24" i="1"/>
  <c r="Q24" i="1"/>
  <c r="K24" i="1"/>
  <c r="O7" i="1" s="1"/>
  <c r="I24" i="1"/>
  <c r="H24" i="1"/>
  <c r="X23" i="1"/>
  <c r="Q23" i="1"/>
  <c r="K23" i="1"/>
  <c r="O6" i="1" s="1"/>
  <c r="I23" i="1"/>
  <c r="H23" i="1"/>
  <c r="X22" i="1"/>
  <c r="Q22" i="1"/>
  <c r="K22" i="1"/>
  <c r="O5" i="1" s="1"/>
  <c r="I22" i="1"/>
  <c r="H22" i="1"/>
  <c r="X21" i="1"/>
  <c r="Q21" i="1"/>
  <c r="K21" i="1"/>
  <c r="J21" i="1"/>
  <c r="I21" i="1"/>
  <c r="H21" i="1"/>
  <c r="X20" i="1"/>
  <c r="K20" i="1"/>
  <c r="J20" i="1"/>
  <c r="I20" i="1"/>
  <c r="H20" i="1"/>
  <c r="X19" i="1"/>
  <c r="Q19" i="1"/>
  <c r="K19" i="1"/>
  <c r="I19" i="1"/>
  <c r="H19" i="1"/>
  <c r="X18" i="1"/>
  <c r="Q18" i="1"/>
  <c r="K18" i="1"/>
  <c r="I18" i="1"/>
  <c r="H18" i="1"/>
  <c r="X17" i="1"/>
  <c r="Q17" i="1"/>
  <c r="J17" i="1"/>
  <c r="I17" i="1"/>
  <c r="H17" i="1"/>
  <c r="X16" i="1"/>
  <c r="Q16" i="1"/>
  <c r="J16" i="1"/>
  <c r="I16" i="1"/>
  <c r="H16" i="1"/>
  <c r="X15" i="1"/>
  <c r="Q15" i="1"/>
  <c r="J15" i="1"/>
  <c r="I15" i="1"/>
  <c r="H15" i="1"/>
  <c r="J14" i="1"/>
  <c r="I14" i="1"/>
  <c r="H14" i="1"/>
  <c r="Q14" i="1" s="1"/>
  <c r="M13" i="1"/>
  <c r="K13" i="1"/>
  <c r="I13" i="1"/>
  <c r="H13" i="1"/>
  <c r="Q13" i="1" s="1"/>
  <c r="Q12" i="1"/>
  <c r="O12" i="1"/>
  <c r="K12" i="1"/>
  <c r="I12" i="1"/>
  <c r="H12" i="1"/>
  <c r="X12" i="1" s="1"/>
  <c r="K11" i="1"/>
  <c r="I11" i="1"/>
  <c r="H11" i="1"/>
  <c r="Q11" i="1" s="1"/>
  <c r="K10" i="1"/>
  <c r="I10" i="1"/>
  <c r="H10" i="1"/>
  <c r="Q10" i="1" s="1"/>
  <c r="K9" i="1"/>
  <c r="I9" i="1"/>
  <c r="H9" i="1"/>
  <c r="Q9" i="1" s="1"/>
  <c r="K8" i="1"/>
  <c r="I8" i="1"/>
  <c r="H8" i="1"/>
  <c r="Q8" i="1" s="1"/>
  <c r="M7" i="1"/>
  <c r="K7" i="1"/>
  <c r="O14" i="1" s="1"/>
  <c r="J7" i="1"/>
  <c r="I7" i="1"/>
  <c r="M14" i="1" s="1"/>
  <c r="H7" i="1"/>
  <c r="Q7" i="1" s="1"/>
  <c r="X6" i="1"/>
  <c r="M6" i="1"/>
  <c r="K6" i="1"/>
  <c r="O13" i="1" s="1"/>
  <c r="I6" i="1"/>
  <c r="H6" i="1"/>
  <c r="Q6" i="1" s="1"/>
  <c r="M5" i="1"/>
  <c r="K5" i="1"/>
  <c r="I5" i="1"/>
  <c r="M12" i="1" s="1"/>
  <c r="H5" i="1"/>
  <c r="Q5" i="1" s="1"/>
  <c r="T20" i="1" l="1"/>
  <c r="T24" i="1"/>
  <c r="N7" i="1"/>
  <c r="T14" i="1" s="1"/>
  <c r="T21" i="1"/>
  <c r="X13" i="1"/>
  <c r="T15" i="1"/>
  <c r="J5" i="1"/>
  <c r="K14" i="1"/>
  <c r="X7" i="1"/>
  <c r="J8" i="1"/>
  <c r="X8" i="1"/>
  <c r="J9" i="1"/>
  <c r="X9" i="1"/>
  <c r="J10" i="1"/>
  <c r="X10" i="1"/>
  <c r="J11" i="1"/>
  <c r="X11" i="1"/>
  <c r="J12" i="1"/>
  <c r="T7" i="1"/>
  <c r="X14" i="1"/>
  <c r="X5" i="1"/>
  <c r="J6" i="1"/>
  <c r="K15" i="1"/>
  <c r="K16" i="1"/>
  <c r="T16" i="1" s="1"/>
  <c r="J18" i="1"/>
  <c r="N14" i="1"/>
  <c r="AA20" i="1" s="1"/>
  <c r="J13" i="1"/>
  <c r="J19" i="1"/>
  <c r="J22" i="1"/>
  <c r="J23" i="1"/>
  <c r="Z12" i="1" l="1"/>
  <c r="T12" i="1"/>
  <c r="S12" i="1"/>
  <c r="AA12" i="1"/>
  <c r="T6" i="1"/>
  <c r="AA6" i="1"/>
  <c r="Y6" i="1"/>
  <c r="Z6" i="1"/>
  <c r="N13" i="1"/>
  <c r="T18" i="1"/>
  <c r="Z18" i="1"/>
  <c r="AA18" i="1"/>
  <c r="AA21" i="1"/>
  <c r="AA14" i="1"/>
  <c r="N5" i="1"/>
  <c r="R19" i="1" s="1"/>
  <c r="U19" i="1" s="1"/>
  <c r="V19" i="1" s="1"/>
  <c r="T22" i="1"/>
  <c r="AA22" i="1"/>
  <c r="R22" i="1"/>
  <c r="Z22" i="1"/>
  <c r="T19" i="1"/>
  <c r="AA19" i="1"/>
  <c r="Z19" i="1"/>
  <c r="Y19" i="1"/>
  <c r="AB19" i="1" s="1"/>
  <c r="AC19" i="1" s="1"/>
  <c r="F45" i="1" s="1"/>
  <c r="G45" i="1" s="1"/>
  <c r="AA10" i="1"/>
  <c r="T10" i="1"/>
  <c r="Z10" i="1"/>
  <c r="Y10" i="1"/>
  <c r="T13" i="1"/>
  <c r="R13" i="1"/>
  <c r="AA13" i="1"/>
  <c r="Z13" i="1"/>
  <c r="Y13" i="1"/>
  <c r="AA9" i="1"/>
  <c r="Z9" i="1"/>
  <c r="Y9" i="1"/>
  <c r="AB9" i="1" s="1"/>
  <c r="AC9" i="1" s="1"/>
  <c r="F35" i="1" s="1"/>
  <c r="G35" i="1" s="1"/>
  <c r="T9" i="1"/>
  <c r="T17" i="1"/>
  <c r="AA8" i="1"/>
  <c r="Z8" i="1"/>
  <c r="Y8" i="1"/>
  <c r="AB8" i="1" s="1"/>
  <c r="AC8" i="1" s="1"/>
  <c r="F34" i="1" s="1"/>
  <c r="G34" i="1" s="1"/>
  <c r="T8" i="1"/>
  <c r="Z5" i="1"/>
  <c r="N12" i="1"/>
  <c r="Y18" i="1" s="1"/>
  <c r="AB18" i="1" s="1"/>
  <c r="AC18" i="1" s="1"/>
  <c r="F44" i="1" s="1"/>
  <c r="G44" i="1" s="1"/>
  <c r="Y5" i="1"/>
  <c r="AA5" i="1"/>
  <c r="T5" i="1"/>
  <c r="AA16" i="1"/>
  <c r="AA15" i="1"/>
  <c r="AA17" i="1"/>
  <c r="T23" i="1"/>
  <c r="AA23" i="1"/>
  <c r="Z23" i="1"/>
  <c r="N6" i="1"/>
  <c r="S19" i="1" s="1"/>
  <c r="Y23" i="1"/>
  <c r="AB23" i="1" s="1"/>
  <c r="AC23" i="1" s="1"/>
  <c r="F49" i="1" s="1"/>
  <c r="G49" i="1" s="1"/>
  <c r="AA11" i="1"/>
  <c r="R11" i="1"/>
  <c r="Z11" i="1"/>
  <c r="Y11" i="1"/>
  <c r="AB11" i="1" s="1"/>
  <c r="AC11" i="1" s="1"/>
  <c r="F37" i="1" s="1"/>
  <c r="G37" i="1" s="1"/>
  <c r="T11" i="1"/>
  <c r="AA24" i="1"/>
  <c r="AA7" i="1"/>
  <c r="S10" i="1" l="1"/>
  <c r="R6" i="1"/>
  <c r="R5" i="1"/>
  <c r="U5" i="1" s="1"/>
  <c r="R8" i="1"/>
  <c r="U8" i="1" s="1"/>
  <c r="V8" i="1" s="1"/>
  <c r="AB10" i="1"/>
  <c r="AC10" i="1" s="1"/>
  <c r="F36" i="1" s="1"/>
  <c r="G36" i="1" s="1"/>
  <c r="S18" i="1"/>
  <c r="U13" i="1"/>
  <c r="V13" i="1" s="1"/>
  <c r="S13" i="1"/>
  <c r="S23" i="1"/>
  <c r="R16" i="1"/>
  <c r="U16" i="1" s="1"/>
  <c r="V16" i="1" s="1"/>
  <c r="R15" i="1"/>
  <c r="R14" i="1"/>
  <c r="U14" i="1" s="1"/>
  <c r="V14" i="1" s="1"/>
  <c r="R17" i="1"/>
  <c r="R20" i="1"/>
  <c r="R24" i="1"/>
  <c r="R21" i="1"/>
  <c r="R7" i="1"/>
  <c r="AB13" i="1"/>
  <c r="AC13" i="1" s="1"/>
  <c r="F39" i="1" s="1"/>
  <c r="G39" i="1" s="1"/>
  <c r="Y22" i="1"/>
  <c r="AB22" i="1" s="1"/>
  <c r="AC22" i="1" s="1"/>
  <c r="F48" i="1" s="1"/>
  <c r="G48" i="1" s="1"/>
  <c r="S15" i="1"/>
  <c r="S14" i="1"/>
  <c r="S16" i="1"/>
  <c r="S20" i="1"/>
  <c r="S7" i="1"/>
  <c r="S17" i="1"/>
  <c r="S24" i="1"/>
  <c r="S21" i="1"/>
  <c r="U22" i="1"/>
  <c r="V22" i="1" s="1"/>
  <c r="S9" i="1"/>
  <c r="S6" i="1"/>
  <c r="AB5" i="1"/>
  <c r="S8" i="1"/>
  <c r="S11" i="1"/>
  <c r="U11" i="1" s="1"/>
  <c r="V11" i="1" s="1"/>
  <c r="Y20" i="1"/>
  <c r="AB20" i="1" s="1"/>
  <c r="AC20" i="1" s="1"/>
  <c r="F46" i="1" s="1"/>
  <c r="G46" i="1" s="1"/>
  <c r="Y21" i="1"/>
  <c r="AB21" i="1" s="1"/>
  <c r="AC21" i="1" s="1"/>
  <c r="F47" i="1" s="1"/>
  <c r="G47" i="1" s="1"/>
  <c r="Y14" i="1"/>
  <c r="Y15" i="1"/>
  <c r="Y17" i="1"/>
  <c r="Y16" i="1"/>
  <c r="Y7" i="1"/>
  <c r="Y24" i="1"/>
  <c r="AB24" i="1" s="1"/>
  <c r="AC24" i="1" s="1"/>
  <c r="F50" i="1" s="1"/>
  <c r="G50" i="1" s="1"/>
  <c r="R10" i="1"/>
  <c r="U10" i="1" s="1"/>
  <c r="V10" i="1" s="1"/>
  <c r="Z17" i="1"/>
  <c r="Z14" i="1"/>
  <c r="Z16" i="1"/>
  <c r="Z7" i="1"/>
  <c r="Z24" i="1"/>
  <c r="Z15" i="1"/>
  <c r="Z20" i="1"/>
  <c r="Z21" i="1"/>
  <c r="R12" i="1"/>
  <c r="U12" i="1" s="1"/>
  <c r="V12" i="1" s="1"/>
  <c r="AB6" i="1"/>
  <c r="AC6" i="1" s="1"/>
  <c r="F32" i="1" s="1"/>
  <c r="G32" i="1" s="1"/>
  <c r="R23" i="1"/>
  <c r="U23" i="1" s="1"/>
  <c r="V23" i="1" s="1"/>
  <c r="S5" i="1"/>
  <c r="R9" i="1"/>
  <c r="U9" i="1" s="1"/>
  <c r="V9" i="1" s="1"/>
  <c r="S22" i="1"/>
  <c r="R18" i="1"/>
  <c r="U18" i="1" s="1"/>
  <c r="V18" i="1" s="1"/>
  <c r="Y12" i="1"/>
  <c r="AB12" i="1" s="1"/>
  <c r="AC12" i="1" s="1"/>
  <c r="F38" i="1" s="1"/>
  <c r="G38" i="1" s="1"/>
  <c r="AB16" i="1" l="1"/>
  <c r="AC16" i="1" s="1"/>
  <c r="F42" i="1" s="1"/>
  <c r="G42" i="1" s="1"/>
  <c r="AC5" i="1"/>
  <c r="F31" i="1" s="1"/>
  <c r="U21" i="1"/>
  <c r="V21" i="1" s="1"/>
  <c r="V5" i="1"/>
  <c r="AB17" i="1"/>
  <c r="AC17" i="1" s="1"/>
  <c r="F43" i="1" s="1"/>
  <c r="G43" i="1" s="1"/>
  <c r="U24" i="1"/>
  <c r="V24" i="1" s="1"/>
  <c r="AB15" i="1"/>
  <c r="AC15" i="1" s="1"/>
  <c r="F41" i="1" s="1"/>
  <c r="G41" i="1" s="1"/>
  <c r="U20" i="1"/>
  <c r="V20" i="1" s="1"/>
  <c r="AB14" i="1"/>
  <c r="AC14" i="1" s="1"/>
  <c r="F40" i="1" s="1"/>
  <c r="G40" i="1" s="1"/>
  <c r="U17" i="1"/>
  <c r="V17" i="1" s="1"/>
  <c r="U15" i="1"/>
  <c r="V15" i="1" s="1"/>
  <c r="U6" i="1"/>
  <c r="V6" i="1" s="1"/>
  <c r="AB7" i="1"/>
  <c r="AC7" i="1" s="1"/>
  <c r="F33" i="1" s="1"/>
  <c r="G33" i="1" s="1"/>
  <c r="U7" i="1"/>
  <c r="V7" i="1" s="1"/>
  <c r="U25" i="1" l="1"/>
  <c r="O17" i="1" s="1"/>
  <c r="O19" i="1" s="1"/>
  <c r="O20" i="1" s="1"/>
  <c r="AB25" i="1"/>
  <c r="O18" i="1" s="1"/>
  <c r="K33" i="1"/>
  <c r="K32" i="1"/>
  <c r="K31" i="1"/>
  <c r="K34" i="1" s="1"/>
  <c r="G31" i="1"/>
</calcChain>
</file>

<file path=xl/sharedStrings.xml><?xml version="1.0" encoding="utf-8"?>
<sst xmlns="http://schemas.openxmlformats.org/spreadsheetml/2006/main" count="86" uniqueCount="61">
  <si>
    <t>PERHITUNGAN MANUAL METODE K-MEDOIDS — TINGKAT KEHADIRAN &amp; NILAI AKADEMIK MAHASISWA</t>
  </si>
  <si>
    <t>Data Kehadiran dan Nilai Akademik Mahasiswa</t>
  </si>
  <si>
    <t>Normalisasi Data</t>
  </si>
  <si>
    <t>Medoid Awal 1 (Iterasi 1)</t>
  </si>
  <si>
    <t>Iterasi 1</t>
  </si>
  <si>
    <t>Iterasi 2</t>
  </si>
  <si>
    <t>No</t>
  </si>
  <si>
    <t>Nama Mahasiswa</t>
  </si>
  <si>
    <t>Kehadiran (%)</t>
  </si>
  <si>
    <t>Nilai Akademik</t>
  </si>
  <si>
    <t>Kehadiran</t>
  </si>
  <si>
    <t>Objek yang Diambil</t>
  </si>
  <si>
    <t>Cost 1</t>
  </si>
  <si>
    <t>Cost 2</t>
  </si>
  <si>
    <t>Cost 3</t>
  </si>
  <si>
    <t>Kedekatan</t>
  </si>
  <si>
    <t>Cluster</t>
  </si>
  <si>
    <t>Ahmad Fadli</t>
  </si>
  <si>
    <t>Bella Anjani</t>
  </si>
  <si>
    <t>Citra Dewi</t>
  </si>
  <si>
    <t>Dimas Saputra</t>
  </si>
  <si>
    <t>Eka Wulandari</t>
  </si>
  <si>
    <t>Fajar Ramadhan</t>
  </si>
  <si>
    <t>Medoid Baru (Iterasi 2)</t>
  </si>
  <si>
    <t>Gita Permata</t>
  </si>
  <si>
    <t>Hadi Kurniawan</t>
  </si>
  <si>
    <t>Indah Lestari</t>
  </si>
  <si>
    <t>Joko Susilo</t>
  </si>
  <si>
    <t>Kartika Sari</t>
  </si>
  <si>
    <t>Lutfi Hakim</t>
  </si>
  <si>
    <t>Total Simpangan (S)</t>
  </si>
  <si>
    <t>Mira Anggraini</t>
  </si>
  <si>
    <t>Total Cost Iterasi 1</t>
  </si>
  <si>
    <t>Nanda Putra</t>
  </si>
  <si>
    <t>Total Cost Iterasi 2</t>
  </si>
  <si>
    <t>Oktavia Rahma</t>
  </si>
  <si>
    <t>Selisih S = Cost Lama - Cost Baru</t>
  </si>
  <si>
    <t>Putra Wijaya</t>
  </si>
  <si>
    <t>Keterangan</t>
  </si>
  <si>
    <t>Qory Amelia</t>
  </si>
  <si>
    <t>Tabel Nama Cluster</t>
  </si>
  <si>
    <t>Rizki Maulana</t>
  </si>
  <si>
    <t>No Cluster</t>
  </si>
  <si>
    <t>Centroid</t>
  </si>
  <si>
    <t>Nama Cluster</t>
  </si>
  <si>
    <t>Salsabila Nur</t>
  </si>
  <si>
    <t>C1</t>
  </si>
  <si>
    <t>Sangat Baik</t>
  </si>
  <si>
    <t>Tegar Pratama</t>
  </si>
  <si>
    <t>C2</t>
  </si>
  <si>
    <t>Kurang Baik</t>
  </si>
  <si>
    <t>Min</t>
  </si>
  <si>
    <t>C3</t>
  </si>
  <si>
    <t>Cukup Baik</t>
  </si>
  <si>
    <t>Jumlah Kedekatan</t>
  </si>
  <si>
    <t>Max</t>
  </si>
  <si>
    <t>Hasil Clustering Setiap Mahasiswa (Iterasi Akhir)</t>
  </si>
  <si>
    <t>Jumlah Cluster</t>
  </si>
  <si>
    <t>Nama Kelas</t>
  </si>
  <si>
    <t>Jumlah Anggota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</si>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</sst>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"/>
    <numFmt numFmtId="165" formatCode="0.000000"/>
  </numFmts>
  <fonts count="5" x14ac:knownFonts="1">
    <font>
      <sz val="11"/>
      <color theme="1"/>
      <name val="Calibri"/>
      <family val="2"/>
      <charset val="1"/>
    </font>
    <font>
      <b/>
      <sz val="14"/>
      <color rgb="FF1F3864"/>
      <name val="Calibri"/>
      <charset val="1"/>
    </font>
    <font>
      <b/>
      <sz val="10"/>
      <color rgb="FFFFFFFF"/>
      <name val="Calibri"/>
      <charset val="1"/>
    </font>
    <font>
      <b/>
      <sz val="10"/>
      <color rgb="FF000000"/>
      <name val="Calibri"/>
      <charset val="1"/>
    </font>
    <font>
      <sz val="10"/>
      <color rgb="FF0000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3366FF"/>
      </patternFill>
    </fill>
    <fill>
      <patternFill patternType="solid">
        <fgColor rgb="FFC5D9F1"/>
        <bgColor rgb="FFD9D9D9"/>
      </patternFill>
    </fill>
    <fill>
      <patternFill patternType="solid">
        <fgColor rgb="FFFABF8F"/>
        <bgColor rgb="FFFF99CC"/>
      </patternFill>
    </fill>
    <fill>
      <patternFill patternType="solid">
        <fgColor rgb="FF8DB4E2"/>
        <bgColor rgb="FF9999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C5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8DB4E2"/>
      <rgbColor rgb="FFFF99CC"/>
      <rgbColor rgb="FFCC99FF"/>
      <rgbColor rgb="FFFABF8F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Jumlah Anggota per Cluster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'K-Medoids'!$K$30</c:f>
              <c:strCache>
                <c:ptCount val="1"/>
                <c:pt idx="0">
                  <c:v>Jumlah Anggota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'K-Medoids'!$J$31:$J$33</c:f>
              <c:strCache>
                <c:ptCount val="3"/>
                <c:pt idx="0">
                  <c:v>Sangat Baik</c:v>
                </c:pt>
                <c:pt idx="1">
                  <c:v>Kurang Baik</c:v>
                </c:pt>
                <c:pt idx="2">
                  <c:v>Cukup Baik</c:v>
                </c:pt>
              </c:strCache>
            </c:strRef>
          </c:cat>
          <c:val>
            <c:numRef>
              <c:f>'K-Medoids'!$K$31:$K$33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5933312"/>
        <c:axId val="673399360"/>
      </c:barChart>
      <c:catAx>
        <c:axId val="6659333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Cluster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73399360"/>
        <c:crosses val="autoZero"/>
        <c:auto val="1"/>
        <c:lblAlgn val="ctr"/>
        <c:lblOffset val="100"/>
        <c:noMultiLvlLbl val="0"/>
      </c:catAx>
      <c:valAx>
        <c:axId val="6733993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Jumlah Mahasiswa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9333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Proporsi Cluster Mahasiswa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'K-Medoids'!$K$30</c:f>
              <c:strCache>
                <c:ptCount val="1"/>
                <c:pt idx="0">
                  <c:v>Jumlah Anggota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</c:dPt>
          <c:dLbls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</c:dLbls>
          <c:cat>
            <c:strRef>
              <c:f>'K-Medoids'!$J$31:$J$33</c:f>
              <c:strCache>
                <c:ptCount val="3"/>
                <c:pt idx="0">
                  <c:v>Sangat Baik</c:v>
                </c:pt>
                <c:pt idx="1">
                  <c:v>Kurang Baik</c:v>
                </c:pt>
                <c:pt idx="2">
                  <c:v>Cukup Baik</c:v>
                </c:pt>
              </c:strCache>
            </c:strRef>
          </c:cat>
          <c:val>
            <c:numRef>
              <c:f>'K-Medoids'!$K$31:$K$33</c:f>
              <c:numCache>
                <c:formatCode>General</c:formatCode>
                <c:ptCount val="3"/>
                <c:pt idx="0">
                  <c:v>5</c:v>
                </c:pt>
                <c:pt idx="1">
                  <c:v>7</c:v>
                </c:pt>
                <c:pt idx="2">
                  <c:v>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285750</xdr:colOff>
      <xdr:row>35</xdr:row>
      <xdr:rowOff>79375</xdr:rowOff>
    </xdr:from>
    <xdr:to>
      <xdr:col>20</xdr:col>
      <xdr:colOff>689345</xdr:colOff>
      <xdr:row>50</xdr:row>
      <xdr:rowOff>101335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36</xdr:row>
      <xdr:rowOff>0</xdr:rowOff>
    </xdr:from>
    <xdr:to>
      <xdr:col>12</xdr:col>
      <xdr:colOff>1077120</xdr:colOff>
      <xdr:row>51</xdr:row>
      <xdr:rowOff>21960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52"/>
  <sheetViews>
    <sheetView showGridLines="0" tabSelected="1" zoomScale="10" zoomScaleNormal="10" workbookViewId="0">
      <pane xSplit="1" ySplit="4" topLeftCell="F5" activePane="bottomRight" state="frozen"/>
      <selection pane="topRight" activeCell="B1" sqref="B1"/>
      <selection pane="bottomLeft" activeCell="A5" sqref="A5"/>
      <selection pane="bottomRight" activeCell="O20" sqref="O20:Q20"/>
    </sheetView>
  </sheetViews>
  <sheetFormatPr defaultColWidth="8.6328125" defaultRowHeight="14.5" x14ac:dyDescent="0.35"/>
  <cols>
    <col min="1" max="1" width="2" customWidth="1"/>
    <col min="2" max="2" width="6" customWidth="1"/>
    <col min="3" max="3" width="18" customWidth="1"/>
    <col min="4" max="6" width="14" customWidth="1"/>
    <col min="7" max="7" width="16" customWidth="1"/>
    <col min="8" max="8" width="6" customWidth="1"/>
    <col min="9" max="9" width="18" customWidth="1"/>
    <col min="10" max="10" width="12" customWidth="1"/>
    <col min="11" max="11" width="14" customWidth="1"/>
    <col min="12" max="12" width="2" customWidth="1"/>
    <col min="13" max="13" width="18" customWidth="1"/>
    <col min="14" max="14" width="12" customWidth="1"/>
    <col min="15" max="15" width="16" customWidth="1"/>
    <col min="16" max="16" width="2" customWidth="1"/>
    <col min="17" max="17" width="6" customWidth="1"/>
    <col min="18" max="20" width="10" customWidth="1"/>
    <col min="21" max="21" width="11" customWidth="1"/>
    <col min="22" max="22" width="9" customWidth="1"/>
    <col min="23" max="23" width="2" customWidth="1"/>
    <col min="24" max="24" width="6" customWidth="1"/>
    <col min="25" max="27" width="10" customWidth="1"/>
    <col min="28" max="28" width="11" customWidth="1"/>
    <col min="29" max="29" width="9" customWidth="1"/>
  </cols>
  <sheetData>
    <row r="1" spans="2:29" ht="21.75" customHeight="1" x14ac:dyDescent="0.35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3" spans="2:29" ht="18" customHeight="1" x14ac:dyDescent="0.35">
      <c r="B3" s="4" t="s">
        <v>1</v>
      </c>
      <c r="C3" s="4"/>
      <c r="D3" s="4"/>
      <c r="E3" s="4"/>
      <c r="H3" s="4" t="s">
        <v>2</v>
      </c>
      <c r="I3" s="4"/>
      <c r="J3" s="4"/>
      <c r="K3" s="4"/>
      <c r="M3" s="4" t="s">
        <v>3</v>
      </c>
      <c r="N3" s="4"/>
      <c r="O3" s="4"/>
      <c r="Q3" s="4" t="s">
        <v>4</v>
      </c>
      <c r="R3" s="4"/>
      <c r="S3" s="4"/>
      <c r="T3" s="4"/>
      <c r="U3" s="4"/>
      <c r="V3" s="4"/>
      <c r="X3" s="4" t="s">
        <v>5</v>
      </c>
      <c r="Y3" s="4"/>
      <c r="Z3" s="4"/>
      <c r="AA3" s="4"/>
      <c r="AB3" s="4"/>
      <c r="AC3" s="4"/>
    </row>
    <row r="4" spans="2:29" x14ac:dyDescent="0.35">
      <c r="B4" s="6" t="s">
        <v>6</v>
      </c>
      <c r="C4" s="6" t="s">
        <v>7</v>
      </c>
      <c r="D4" s="6" t="s">
        <v>8</v>
      </c>
      <c r="E4" s="6" t="s">
        <v>9</v>
      </c>
      <c r="H4" s="6" t="s">
        <v>6</v>
      </c>
      <c r="I4" s="6" t="s">
        <v>7</v>
      </c>
      <c r="J4" s="6" t="s">
        <v>10</v>
      </c>
      <c r="K4" s="6" t="s">
        <v>9</v>
      </c>
      <c r="M4" s="6" t="s">
        <v>11</v>
      </c>
      <c r="N4" s="6" t="s">
        <v>10</v>
      </c>
      <c r="O4" s="6" t="s">
        <v>9</v>
      </c>
      <c r="Q4" s="6" t="s">
        <v>6</v>
      </c>
      <c r="R4" s="6" t="s">
        <v>12</v>
      </c>
      <c r="S4" s="6" t="s">
        <v>13</v>
      </c>
      <c r="T4" s="6" t="s">
        <v>14</v>
      </c>
      <c r="U4" s="6" t="s">
        <v>15</v>
      </c>
      <c r="V4" s="6" t="s">
        <v>16</v>
      </c>
      <c r="X4" s="6" t="s">
        <v>6</v>
      </c>
      <c r="Y4" s="6" t="s">
        <v>12</v>
      </c>
      <c r="Z4" s="6" t="s">
        <v>13</v>
      </c>
      <c r="AA4" s="6" t="s">
        <v>14</v>
      </c>
      <c r="AB4" s="6" t="s">
        <v>15</v>
      </c>
      <c r="AC4" s="6" t="s">
        <v>16</v>
      </c>
    </row>
    <row r="5" spans="2:29" x14ac:dyDescent="0.35">
      <c r="B5" s="7">
        <v>1</v>
      </c>
      <c r="C5" s="8" t="s">
        <v>17</v>
      </c>
      <c r="D5" s="7">
        <v>95</v>
      </c>
      <c r="E5" s="7">
        <v>88</v>
      </c>
      <c r="H5" s="7">
        <f t="shared" ref="H5:H24" si="0">B5</f>
        <v>1</v>
      </c>
      <c r="I5" s="8" t="str">
        <f t="shared" ref="I5:I24" si="1">C5</f>
        <v>Ahmad Fadli</v>
      </c>
      <c r="J5" s="9">
        <f t="shared" ref="J5:J24" si="2">(D5-$D$25)/($D$26-$D$25)</f>
        <v>0.93023255813953487</v>
      </c>
      <c r="K5" s="9">
        <f t="shared" ref="K5:K24" si="3">(E5-$E$25)/($E$26-$E$25)</f>
        <v>0.90476190476190477</v>
      </c>
      <c r="M5" s="10" t="str">
        <f>"O"&amp;18&amp;" ("&amp;INDEX($I$5:$I$24,18)&amp;")"</f>
        <v>O18 (Rizki Maulana)</v>
      </c>
      <c r="N5" s="11">
        <f>INDEX($J$5:$J$24,18)</f>
        <v>0.83720930232558144</v>
      </c>
      <c r="O5" s="11">
        <f>INDEX($K$5:$K$24,18)</f>
        <v>0.80952380952380953</v>
      </c>
      <c r="Q5" s="7">
        <f t="shared" ref="Q5:Q19" si="4">H5</f>
        <v>1</v>
      </c>
      <c r="R5" s="9">
        <f t="shared" ref="R5:R24" si="5">SQRT((J5-$N$5)^2+(K5-$O$5)^2)</f>
        <v>0.13313009016300079</v>
      </c>
      <c r="S5" s="9">
        <f t="shared" ref="S5:S24" si="6">SQRT((J5-$N$6)^2+(K5-$O$6)^2)</f>
        <v>0.64883100968804142</v>
      </c>
      <c r="T5" s="9">
        <f t="shared" ref="T5:T24" si="7">SQRT((J5-$N$7)^2+(K5-$O$7)^2)</f>
        <v>5.2994401390943038E-2</v>
      </c>
      <c r="U5" s="9">
        <f t="shared" ref="U5:U24" si="8">MIN(R5:T5)</f>
        <v>5.2994401390943038E-2</v>
      </c>
      <c r="V5" s="7">
        <f t="shared" ref="V5:V24" si="9">MATCH(U5,R5:T5,0)</f>
        <v>3</v>
      </c>
      <c r="X5" s="7">
        <f t="shared" ref="X5:X24" si="10">H5</f>
        <v>1</v>
      </c>
      <c r="Y5" s="9">
        <f t="shared" ref="Y5:Y24" si="11">SQRT((J5-$N$12)^2+(K5-$O$12)^2)</f>
        <v>0</v>
      </c>
      <c r="Z5" s="9">
        <f t="shared" ref="Z5:Z24" si="12">SQRT((J5-$N$13)^2+(K5-$O$13)^2)</f>
        <v>1.1313121673563884</v>
      </c>
      <c r="AA5" s="9">
        <f t="shared" ref="AA5:AA24" si="13">SQRT((J5-$N$14)^2+(K5-$O$14)^2)</f>
        <v>0.33282522540750209</v>
      </c>
      <c r="AB5" s="9">
        <f t="shared" ref="AB5:AB24" si="14">MIN(Y5:AA5)</f>
        <v>0</v>
      </c>
      <c r="AC5" s="7">
        <f t="shared" ref="AC5:AC24" si="15">MATCH(AB5,Y5:AA5,0)</f>
        <v>1</v>
      </c>
    </row>
    <row r="6" spans="2:29" x14ac:dyDescent="0.35">
      <c r="B6" s="7">
        <v>2</v>
      </c>
      <c r="C6" s="8" t="s">
        <v>18</v>
      </c>
      <c r="D6" s="7">
        <v>60</v>
      </c>
      <c r="E6" s="7">
        <v>55</v>
      </c>
      <c r="H6" s="7">
        <f t="shared" si="0"/>
        <v>2</v>
      </c>
      <c r="I6" s="8" t="str">
        <f t="shared" si="1"/>
        <v>Bella Anjani</v>
      </c>
      <c r="J6" s="9">
        <f t="shared" si="2"/>
        <v>0.11627906976744186</v>
      </c>
      <c r="K6" s="9">
        <f t="shared" si="3"/>
        <v>0.11904761904761904</v>
      </c>
      <c r="M6" s="10" t="str">
        <f>"O"&amp;19&amp;" ("&amp;INDEX($I$5:$I$24,19)&amp;")"</f>
        <v>O19 (Salsabila Nur)</v>
      </c>
      <c r="N6" s="11">
        <f>INDEX($J$5:$J$24,19)</f>
        <v>0.46511627906976744</v>
      </c>
      <c r="O6" s="11">
        <f>INDEX($K$5:$K$24,19)</f>
        <v>0.45238095238095238</v>
      </c>
      <c r="Q6" s="7">
        <f t="shared" si="4"/>
        <v>2</v>
      </c>
      <c r="R6" s="9">
        <f t="shared" si="5"/>
        <v>0.99824734902269874</v>
      </c>
      <c r="S6" s="9">
        <f t="shared" si="6"/>
        <v>0.48249197890218409</v>
      </c>
      <c r="T6" s="9">
        <f t="shared" si="7"/>
        <v>1.1812552054255385</v>
      </c>
      <c r="U6" s="9">
        <f t="shared" si="8"/>
        <v>0.48249197890218409</v>
      </c>
      <c r="V6" s="7">
        <f t="shared" si="9"/>
        <v>2</v>
      </c>
      <c r="X6" s="7">
        <f t="shared" si="10"/>
        <v>2</v>
      </c>
      <c r="Y6" s="9">
        <f t="shared" si="11"/>
        <v>1.1313121673563884</v>
      </c>
      <c r="Z6" s="9">
        <f t="shared" si="12"/>
        <v>0</v>
      </c>
      <c r="AA6" s="9">
        <f t="shared" si="13"/>
        <v>0.79869091203339293</v>
      </c>
      <c r="AB6" s="9">
        <f t="shared" si="14"/>
        <v>0</v>
      </c>
      <c r="AC6" s="7">
        <f t="shared" si="15"/>
        <v>2</v>
      </c>
    </row>
    <row r="7" spans="2:29" x14ac:dyDescent="0.35">
      <c r="B7" s="7">
        <v>3</v>
      </c>
      <c r="C7" s="8" t="s">
        <v>19</v>
      </c>
      <c r="D7" s="7">
        <v>85</v>
      </c>
      <c r="E7" s="7">
        <v>78</v>
      </c>
      <c r="H7" s="7">
        <f t="shared" si="0"/>
        <v>3</v>
      </c>
      <c r="I7" s="8" t="str">
        <f t="shared" si="1"/>
        <v>Citra Dewi</v>
      </c>
      <c r="J7" s="9">
        <f t="shared" si="2"/>
        <v>0.69767441860465118</v>
      </c>
      <c r="K7" s="9">
        <f t="shared" si="3"/>
        <v>0.66666666666666663</v>
      </c>
      <c r="M7" s="10" t="str">
        <f>"O"&amp;20&amp;" ("&amp;INDEX($I$5:$I$24,20)&amp;")"</f>
        <v>O20 (Tegar Pratama)</v>
      </c>
      <c r="N7" s="11">
        <f>INDEX($J$5:$J$24,20)</f>
        <v>0.95348837209302328</v>
      </c>
      <c r="O7" s="11">
        <f>INDEX($K$5:$K$24,20)</f>
        <v>0.95238095238095233</v>
      </c>
      <c r="Q7" s="7">
        <f t="shared" si="4"/>
        <v>3</v>
      </c>
      <c r="R7" s="9">
        <f t="shared" si="5"/>
        <v>0.1996951352445013</v>
      </c>
      <c r="S7" s="9">
        <f t="shared" si="6"/>
        <v>0.3162303837566296</v>
      </c>
      <c r="T7" s="9">
        <f t="shared" si="7"/>
        <v>0.38350154088422578</v>
      </c>
      <c r="U7" s="9">
        <f t="shared" si="8"/>
        <v>0.1996951352445013</v>
      </c>
      <c r="V7" s="7">
        <f t="shared" si="9"/>
        <v>1</v>
      </c>
      <c r="X7" s="7">
        <f t="shared" si="10"/>
        <v>3</v>
      </c>
      <c r="Y7" s="9">
        <f t="shared" si="11"/>
        <v>0.33282522540750209</v>
      </c>
      <c r="Z7" s="9">
        <f t="shared" si="12"/>
        <v>0.79869091203339293</v>
      </c>
      <c r="AA7" s="9">
        <f t="shared" si="13"/>
        <v>0</v>
      </c>
      <c r="AB7" s="9">
        <f t="shared" si="14"/>
        <v>0</v>
      </c>
      <c r="AC7" s="7">
        <f t="shared" si="15"/>
        <v>3</v>
      </c>
    </row>
    <row r="8" spans="2:29" x14ac:dyDescent="0.35">
      <c r="B8" s="7">
        <v>4</v>
      </c>
      <c r="C8" s="8" t="s">
        <v>20</v>
      </c>
      <c r="D8" s="7">
        <v>70</v>
      </c>
      <c r="E8" s="7">
        <v>65</v>
      </c>
      <c r="H8" s="7">
        <f t="shared" si="0"/>
        <v>4</v>
      </c>
      <c r="I8" s="8" t="str">
        <f t="shared" si="1"/>
        <v>Dimas Saputra</v>
      </c>
      <c r="J8" s="9">
        <f t="shared" si="2"/>
        <v>0.34883720930232559</v>
      </c>
      <c r="K8" s="9">
        <f t="shared" si="3"/>
        <v>0.35714285714285715</v>
      </c>
      <c r="Q8" s="7">
        <f t="shared" si="4"/>
        <v>4</v>
      </c>
      <c r="R8" s="9">
        <f t="shared" si="5"/>
        <v>0.66569950226886399</v>
      </c>
      <c r="S8" s="9">
        <f t="shared" si="6"/>
        <v>0.15030341596438221</v>
      </c>
      <c r="T8" s="9">
        <f t="shared" si="7"/>
        <v>0.84847593877894867</v>
      </c>
      <c r="U8" s="9">
        <f t="shared" si="8"/>
        <v>0.15030341596438221</v>
      </c>
      <c r="V8" s="7">
        <f t="shared" si="9"/>
        <v>2</v>
      </c>
      <c r="X8" s="7">
        <f t="shared" si="10"/>
        <v>4</v>
      </c>
      <c r="Y8" s="9">
        <f t="shared" si="11"/>
        <v>0.79869091203339293</v>
      </c>
      <c r="Z8" s="9">
        <f t="shared" si="12"/>
        <v>0.33282522540750209</v>
      </c>
      <c r="AA8" s="9">
        <f t="shared" si="13"/>
        <v>0.46636079086471882</v>
      </c>
      <c r="AB8" s="9">
        <f t="shared" si="14"/>
        <v>0.33282522540750209</v>
      </c>
      <c r="AC8" s="7">
        <f t="shared" si="15"/>
        <v>2</v>
      </c>
    </row>
    <row r="9" spans="2:29" x14ac:dyDescent="0.35">
      <c r="B9" s="7">
        <v>5</v>
      </c>
      <c r="C9" s="8" t="s">
        <v>21</v>
      </c>
      <c r="D9" s="7">
        <v>90</v>
      </c>
      <c r="E9" s="7">
        <v>82</v>
      </c>
      <c r="H9" s="7">
        <f t="shared" si="0"/>
        <v>5</v>
      </c>
      <c r="I9" s="8" t="str">
        <f t="shared" si="1"/>
        <v>Eka Wulandari</v>
      </c>
      <c r="J9" s="9">
        <f t="shared" si="2"/>
        <v>0.81395348837209303</v>
      </c>
      <c r="K9" s="9">
        <f t="shared" si="3"/>
        <v>0.76190476190476186</v>
      </c>
      <c r="Q9" s="7">
        <f t="shared" si="4"/>
        <v>5</v>
      </c>
      <c r="R9" s="9">
        <f t="shared" si="5"/>
        <v>5.2994401390943136E-2</v>
      </c>
      <c r="S9" s="9">
        <f t="shared" si="6"/>
        <v>0.46636079086471882</v>
      </c>
      <c r="T9" s="9">
        <f t="shared" si="7"/>
        <v>0.23611684165543023</v>
      </c>
      <c r="U9" s="9">
        <f t="shared" si="8"/>
        <v>5.2994401390943136E-2</v>
      </c>
      <c r="V9" s="7">
        <f t="shared" si="9"/>
        <v>1</v>
      </c>
      <c r="X9" s="7">
        <f t="shared" si="10"/>
        <v>5</v>
      </c>
      <c r="Y9" s="9">
        <f t="shared" si="11"/>
        <v>0.18419822293194835</v>
      </c>
      <c r="Z9" s="9">
        <f t="shared" si="12"/>
        <v>0.94869115126988868</v>
      </c>
      <c r="AA9" s="9">
        <f t="shared" si="13"/>
        <v>0.15030341596438221</v>
      </c>
      <c r="AB9" s="9">
        <f t="shared" si="14"/>
        <v>0.15030341596438221</v>
      </c>
      <c r="AC9" s="7">
        <f t="shared" si="15"/>
        <v>3</v>
      </c>
    </row>
    <row r="10" spans="2:29" ht="18" customHeight="1" x14ac:dyDescent="0.35">
      <c r="B10" s="7">
        <v>6</v>
      </c>
      <c r="C10" s="8" t="s">
        <v>22</v>
      </c>
      <c r="D10" s="7">
        <v>65</v>
      </c>
      <c r="E10" s="7">
        <v>60</v>
      </c>
      <c r="H10" s="7">
        <f t="shared" si="0"/>
        <v>6</v>
      </c>
      <c r="I10" s="8" t="str">
        <f t="shared" si="1"/>
        <v>Fajar Ramadhan</v>
      </c>
      <c r="J10" s="9">
        <f t="shared" si="2"/>
        <v>0.23255813953488372</v>
      </c>
      <c r="K10" s="9">
        <f t="shared" si="3"/>
        <v>0.23809523809523808</v>
      </c>
      <c r="M10" s="4" t="s">
        <v>23</v>
      </c>
      <c r="N10" s="4"/>
      <c r="O10" s="4"/>
      <c r="Q10" s="7">
        <f t="shared" si="4"/>
        <v>6</v>
      </c>
      <c r="R10" s="9">
        <f t="shared" si="5"/>
        <v>0.83194569588948586</v>
      </c>
      <c r="S10" s="9">
        <f t="shared" si="6"/>
        <v>0.3162303837566296</v>
      </c>
      <c r="T10" s="9">
        <f t="shared" si="7"/>
        <v>1.0148618043108069</v>
      </c>
      <c r="U10" s="9">
        <f t="shared" si="8"/>
        <v>0.3162303837566296</v>
      </c>
      <c r="V10" s="7">
        <f t="shared" si="9"/>
        <v>2</v>
      </c>
      <c r="X10" s="7">
        <f t="shared" si="10"/>
        <v>6</v>
      </c>
      <c r="Y10" s="9">
        <f t="shared" si="11"/>
        <v>0.96498395780436819</v>
      </c>
      <c r="Z10" s="9">
        <f t="shared" si="12"/>
        <v>0.16641261270375102</v>
      </c>
      <c r="AA10" s="9">
        <f t="shared" si="13"/>
        <v>0.63246076751325919</v>
      </c>
      <c r="AB10" s="9">
        <f t="shared" si="14"/>
        <v>0.16641261270375102</v>
      </c>
      <c r="AC10" s="7">
        <f t="shared" si="15"/>
        <v>2</v>
      </c>
    </row>
    <row r="11" spans="2:29" x14ac:dyDescent="0.35">
      <c r="B11" s="7">
        <v>7</v>
      </c>
      <c r="C11" s="8" t="s">
        <v>24</v>
      </c>
      <c r="D11" s="7">
        <v>98</v>
      </c>
      <c r="E11" s="7">
        <v>92</v>
      </c>
      <c r="H11" s="7">
        <f t="shared" si="0"/>
        <v>7</v>
      </c>
      <c r="I11" s="8" t="str">
        <f t="shared" si="1"/>
        <v>Gita Permata</v>
      </c>
      <c r="J11" s="9">
        <f t="shared" si="2"/>
        <v>1</v>
      </c>
      <c r="K11" s="9">
        <f t="shared" si="3"/>
        <v>1</v>
      </c>
      <c r="M11" s="6" t="s">
        <v>11</v>
      </c>
      <c r="N11" s="6" t="s">
        <v>10</v>
      </c>
      <c r="O11" s="6" t="s">
        <v>9</v>
      </c>
      <c r="Q11" s="7">
        <f t="shared" si="4"/>
        <v>7</v>
      </c>
      <c r="R11" s="9">
        <f t="shared" si="5"/>
        <v>0.25056334605773034</v>
      </c>
      <c r="S11" s="9">
        <f t="shared" si="6"/>
        <v>0.76549801843725485</v>
      </c>
      <c r="T11" s="9">
        <f t="shared" si="7"/>
        <v>6.6565045081500435E-2</v>
      </c>
      <c r="U11" s="9">
        <f t="shared" si="8"/>
        <v>6.6565045081500435E-2</v>
      </c>
      <c r="V11" s="7">
        <f t="shared" si="9"/>
        <v>3</v>
      </c>
      <c r="X11" s="7">
        <f t="shared" si="10"/>
        <v>7</v>
      </c>
      <c r="Y11" s="9">
        <f t="shared" si="11"/>
        <v>0.11805842082771512</v>
      </c>
      <c r="Z11" s="9">
        <f t="shared" si="12"/>
        <v>1.2478140005773164</v>
      </c>
      <c r="AA11" s="9">
        <f t="shared" si="13"/>
        <v>0.45001318678139512</v>
      </c>
      <c r="AB11" s="9">
        <f t="shared" si="14"/>
        <v>0.11805842082771512</v>
      </c>
      <c r="AC11" s="7">
        <f t="shared" si="15"/>
        <v>1</v>
      </c>
    </row>
    <row r="12" spans="2:29" x14ac:dyDescent="0.35">
      <c r="B12" s="7">
        <v>8</v>
      </c>
      <c r="C12" s="8" t="s">
        <v>25</v>
      </c>
      <c r="D12" s="7">
        <v>55</v>
      </c>
      <c r="E12" s="7">
        <v>50</v>
      </c>
      <c r="H12" s="7">
        <f t="shared" si="0"/>
        <v>8</v>
      </c>
      <c r="I12" s="8" t="str">
        <f t="shared" si="1"/>
        <v>Hadi Kurniawan</v>
      </c>
      <c r="J12" s="9">
        <f t="shared" si="2"/>
        <v>0</v>
      </c>
      <c r="K12" s="9">
        <f t="shared" si="3"/>
        <v>0</v>
      </c>
      <c r="M12" s="10" t="str">
        <f>"O"&amp;1&amp;" ("&amp;INDEX($I$5:$I$24,1)&amp;")"</f>
        <v>O1 (Ahmad Fadli)</v>
      </c>
      <c r="N12" s="11">
        <f>INDEX($J$5:$J$24,1)</f>
        <v>0.93023255813953487</v>
      </c>
      <c r="O12" s="11">
        <f>INDEX($K$5:$K$24,1)</f>
        <v>0.90476190476190477</v>
      </c>
      <c r="Q12" s="7">
        <f t="shared" si="4"/>
        <v>8</v>
      </c>
      <c r="R12" s="9">
        <f t="shared" si="5"/>
        <v>1.1645807031229858</v>
      </c>
      <c r="S12" s="9">
        <f t="shared" si="6"/>
        <v>0.64883100968804142</v>
      </c>
      <c r="T12" s="9">
        <f t="shared" si="7"/>
        <v>1.3476533508935646</v>
      </c>
      <c r="U12" s="9">
        <f t="shared" si="8"/>
        <v>0.64883100968804142</v>
      </c>
      <c r="V12" s="7">
        <f t="shared" si="9"/>
        <v>2</v>
      </c>
      <c r="X12" s="7">
        <f t="shared" si="10"/>
        <v>8</v>
      </c>
      <c r="Y12" s="9">
        <f t="shared" si="11"/>
        <v>1.2976620193760828</v>
      </c>
      <c r="Z12" s="9">
        <f t="shared" si="12"/>
        <v>0.16641261270375102</v>
      </c>
      <c r="AA12" s="9">
        <f t="shared" si="13"/>
        <v>0.96498395780436808</v>
      </c>
      <c r="AB12" s="9">
        <f t="shared" si="14"/>
        <v>0.16641261270375102</v>
      </c>
      <c r="AC12" s="7">
        <f t="shared" si="15"/>
        <v>2</v>
      </c>
    </row>
    <row r="13" spans="2:29" x14ac:dyDescent="0.35">
      <c r="B13" s="7">
        <v>9</v>
      </c>
      <c r="C13" s="8" t="s">
        <v>26</v>
      </c>
      <c r="D13" s="7">
        <v>80</v>
      </c>
      <c r="E13" s="7">
        <v>75</v>
      </c>
      <c r="H13" s="7">
        <f t="shared" si="0"/>
        <v>9</v>
      </c>
      <c r="I13" s="8" t="str">
        <f t="shared" si="1"/>
        <v>Indah Lestari</v>
      </c>
      <c r="J13" s="9">
        <f t="shared" si="2"/>
        <v>0.58139534883720934</v>
      </c>
      <c r="K13" s="9">
        <f t="shared" si="3"/>
        <v>0.59523809523809523</v>
      </c>
      <c r="M13" s="10" t="str">
        <f>"O"&amp;2&amp;" ("&amp;INDEX($I$5:$I$24,2)&amp;")"</f>
        <v>O2 (Bella Anjani)</v>
      </c>
      <c r="N13" s="11">
        <f>INDEX($J$5:$J$24,2)</f>
        <v>0.11627906976744186</v>
      </c>
      <c r="O13" s="11">
        <f>INDEX($K$5:$K$24,2)</f>
        <v>0.11904761904761904</v>
      </c>
      <c r="Q13" s="7">
        <f t="shared" si="4"/>
        <v>9</v>
      </c>
      <c r="R13" s="9">
        <f t="shared" si="5"/>
        <v>0.33370517848287851</v>
      </c>
      <c r="S13" s="9">
        <f t="shared" si="6"/>
        <v>0.18419822293194835</v>
      </c>
      <c r="T13" s="9">
        <f t="shared" si="7"/>
        <v>0.51575598723021621</v>
      </c>
      <c r="U13" s="9">
        <f t="shared" si="8"/>
        <v>0.18419822293194835</v>
      </c>
      <c r="V13" s="7">
        <f t="shared" si="9"/>
        <v>2</v>
      </c>
      <c r="X13" s="7">
        <f t="shared" si="10"/>
        <v>9</v>
      </c>
      <c r="Y13" s="9">
        <f t="shared" si="11"/>
        <v>0.46636079086471877</v>
      </c>
      <c r="Z13" s="9">
        <f t="shared" si="12"/>
        <v>0.66565045081500418</v>
      </c>
      <c r="AA13" s="9">
        <f t="shared" si="13"/>
        <v>0.13646561062153401</v>
      </c>
      <c r="AB13" s="9">
        <f t="shared" si="14"/>
        <v>0.13646561062153401</v>
      </c>
      <c r="AC13" s="7">
        <f t="shared" si="15"/>
        <v>3</v>
      </c>
    </row>
    <row r="14" spans="2:29" x14ac:dyDescent="0.35">
      <c r="B14" s="7">
        <v>10</v>
      </c>
      <c r="C14" s="8" t="s">
        <v>27</v>
      </c>
      <c r="D14" s="7">
        <v>72</v>
      </c>
      <c r="E14" s="7">
        <v>68</v>
      </c>
      <c r="H14" s="7">
        <f t="shared" si="0"/>
        <v>10</v>
      </c>
      <c r="I14" s="8" t="str">
        <f t="shared" si="1"/>
        <v>Joko Susilo</v>
      </c>
      <c r="J14" s="9">
        <f t="shared" si="2"/>
        <v>0.39534883720930231</v>
      </c>
      <c r="K14" s="9">
        <f t="shared" si="3"/>
        <v>0.42857142857142855</v>
      </c>
      <c r="M14" s="10" t="str">
        <f>"O"&amp;3&amp;" ("&amp;INDEX($I$5:$I$24,3)&amp;")"</f>
        <v>O3 (Citra Dewi)</v>
      </c>
      <c r="N14" s="11">
        <f>INDEX($J$5:$J$24,3)</f>
        <v>0.69767441860465118</v>
      </c>
      <c r="O14" s="11">
        <f>INDEX($K$5:$K$24,3)</f>
        <v>0.66666666666666663</v>
      </c>
      <c r="Q14" s="7">
        <f t="shared" si="4"/>
        <v>10</v>
      </c>
      <c r="R14" s="9">
        <f t="shared" si="5"/>
        <v>0.58340842227899192</v>
      </c>
      <c r="S14" s="9">
        <f t="shared" si="6"/>
        <v>7.3718310939614354E-2</v>
      </c>
      <c r="T14" s="9">
        <f t="shared" si="7"/>
        <v>0.76543853942284379</v>
      </c>
      <c r="U14" s="9">
        <f t="shared" si="8"/>
        <v>7.3718310939614354E-2</v>
      </c>
      <c r="V14" s="7">
        <f t="shared" si="9"/>
        <v>2</v>
      </c>
      <c r="X14" s="7">
        <f t="shared" si="10"/>
        <v>10</v>
      </c>
      <c r="Y14" s="9">
        <f t="shared" si="11"/>
        <v>0.71614102279556879</v>
      </c>
      <c r="Z14" s="9">
        <f t="shared" si="12"/>
        <v>0.41675523243528162</v>
      </c>
      <c r="AA14" s="9">
        <f t="shared" si="13"/>
        <v>0.38482476475619887</v>
      </c>
      <c r="AB14" s="9">
        <f t="shared" si="14"/>
        <v>0.38482476475619887</v>
      </c>
      <c r="AC14" s="7">
        <f t="shared" si="15"/>
        <v>3</v>
      </c>
    </row>
    <row r="15" spans="2:29" x14ac:dyDescent="0.35">
      <c r="B15" s="7">
        <v>11</v>
      </c>
      <c r="C15" s="8" t="s">
        <v>28</v>
      </c>
      <c r="D15" s="7">
        <v>88</v>
      </c>
      <c r="E15" s="7">
        <v>80</v>
      </c>
      <c r="H15" s="7">
        <f t="shared" si="0"/>
        <v>11</v>
      </c>
      <c r="I15" s="8" t="str">
        <f t="shared" si="1"/>
        <v>Kartika Sari</v>
      </c>
      <c r="J15" s="9">
        <f t="shared" si="2"/>
        <v>0.76744186046511631</v>
      </c>
      <c r="K15" s="9">
        <f t="shared" si="3"/>
        <v>0.7142857142857143</v>
      </c>
      <c r="Q15" s="7">
        <f t="shared" si="4"/>
        <v>11</v>
      </c>
      <c r="R15" s="9">
        <f t="shared" si="5"/>
        <v>0.11805842082771512</v>
      </c>
      <c r="S15" s="9">
        <f t="shared" si="6"/>
        <v>0.39999357679146014</v>
      </c>
      <c r="T15" s="9">
        <f t="shared" si="7"/>
        <v>0.30216327853089792</v>
      </c>
      <c r="U15" s="9">
        <f t="shared" si="8"/>
        <v>0.11805842082771512</v>
      </c>
      <c r="V15" s="7">
        <f t="shared" si="9"/>
        <v>1</v>
      </c>
      <c r="X15" s="7">
        <f t="shared" si="10"/>
        <v>11</v>
      </c>
      <c r="Y15" s="9">
        <f t="shared" si="11"/>
        <v>0.25056334605773034</v>
      </c>
      <c r="Z15" s="9">
        <f t="shared" si="12"/>
        <v>0.88222523768698613</v>
      </c>
      <c r="AA15" s="9">
        <f t="shared" si="13"/>
        <v>8.4469341419822333E-2</v>
      </c>
      <c r="AB15" s="9">
        <f t="shared" si="14"/>
        <v>8.4469341419822333E-2</v>
      </c>
      <c r="AC15" s="7">
        <f t="shared" si="15"/>
        <v>3</v>
      </c>
    </row>
    <row r="16" spans="2:29" ht="18" customHeight="1" x14ac:dyDescent="0.35">
      <c r="B16" s="7">
        <v>12</v>
      </c>
      <c r="C16" s="8" t="s">
        <v>29</v>
      </c>
      <c r="D16" s="7">
        <v>62</v>
      </c>
      <c r="E16" s="7">
        <v>58</v>
      </c>
      <c r="H16" s="7">
        <f t="shared" si="0"/>
        <v>12</v>
      </c>
      <c r="I16" s="8" t="str">
        <f t="shared" si="1"/>
        <v>Lutfi Hakim</v>
      </c>
      <c r="J16" s="9">
        <f t="shared" si="2"/>
        <v>0.16279069767441862</v>
      </c>
      <c r="K16" s="9">
        <f t="shared" si="3"/>
        <v>0.19047619047619047</v>
      </c>
      <c r="M16" s="4" t="s">
        <v>30</v>
      </c>
      <c r="N16" s="4"/>
      <c r="O16" s="4"/>
      <c r="Q16" s="7">
        <f t="shared" si="4"/>
        <v>12</v>
      </c>
      <c r="R16" s="9">
        <f t="shared" si="5"/>
        <v>0.91545639379937016</v>
      </c>
      <c r="S16" s="9">
        <f t="shared" si="6"/>
        <v>0.39999357679146014</v>
      </c>
      <c r="T16" s="9">
        <f t="shared" si="7"/>
        <v>1.0980444793104429</v>
      </c>
      <c r="U16" s="9">
        <f t="shared" si="8"/>
        <v>0.39999357679146014</v>
      </c>
      <c r="V16" s="7">
        <f t="shared" si="9"/>
        <v>2</v>
      </c>
      <c r="X16" s="7">
        <f t="shared" si="10"/>
        <v>12</v>
      </c>
      <c r="Y16" s="9">
        <f t="shared" si="11"/>
        <v>1.0484136067539434</v>
      </c>
      <c r="Z16" s="9">
        <f t="shared" si="12"/>
        <v>8.5237153559252488E-2</v>
      </c>
      <c r="AA16" s="9">
        <f t="shared" si="13"/>
        <v>0.71614102279556879</v>
      </c>
      <c r="AB16" s="9">
        <f t="shared" si="14"/>
        <v>8.5237153559252488E-2</v>
      </c>
      <c r="AC16" s="7">
        <f t="shared" si="15"/>
        <v>2</v>
      </c>
    </row>
    <row r="17" spans="2:29" x14ac:dyDescent="0.35">
      <c r="B17" s="7">
        <v>13</v>
      </c>
      <c r="C17" s="8" t="s">
        <v>31</v>
      </c>
      <c r="D17" s="7">
        <v>93</v>
      </c>
      <c r="E17" s="7">
        <v>85</v>
      </c>
      <c r="H17" s="7">
        <f t="shared" si="0"/>
        <v>13</v>
      </c>
      <c r="I17" s="8" t="str">
        <f t="shared" si="1"/>
        <v>Mira Anggraini</v>
      </c>
      <c r="J17" s="9">
        <f t="shared" si="2"/>
        <v>0.88372093023255816</v>
      </c>
      <c r="K17" s="9">
        <f t="shared" si="3"/>
        <v>0.83333333333333337</v>
      </c>
      <c r="M17" s="3" t="s">
        <v>32</v>
      </c>
      <c r="N17" s="3"/>
      <c r="O17" s="12">
        <f>U25</f>
        <v>3.9007289177128137</v>
      </c>
      <c r="Q17" s="7">
        <f t="shared" si="4"/>
        <v>13</v>
      </c>
      <c r="R17" s="9">
        <f t="shared" si="5"/>
        <v>5.2251554566283845E-2</v>
      </c>
      <c r="S17" s="9">
        <f t="shared" si="6"/>
        <v>0.565998737214501</v>
      </c>
      <c r="T17" s="9">
        <f t="shared" si="7"/>
        <v>0.13798489607439066</v>
      </c>
      <c r="U17" s="9">
        <f t="shared" si="8"/>
        <v>5.2251554566283845E-2</v>
      </c>
      <c r="V17" s="7">
        <f t="shared" si="9"/>
        <v>1</v>
      </c>
      <c r="X17" s="7">
        <f t="shared" si="10"/>
        <v>13</v>
      </c>
      <c r="Y17" s="9">
        <f t="shared" si="11"/>
        <v>8.5237153559252446E-2</v>
      </c>
      <c r="Z17" s="9">
        <f t="shared" si="12"/>
        <v>1.0484136067539434</v>
      </c>
      <c r="AA17" s="9">
        <f t="shared" si="13"/>
        <v>0.24978206954601589</v>
      </c>
      <c r="AB17" s="9">
        <f t="shared" si="14"/>
        <v>8.5237153559252446E-2</v>
      </c>
      <c r="AC17" s="7">
        <f t="shared" si="15"/>
        <v>1</v>
      </c>
    </row>
    <row r="18" spans="2:29" x14ac:dyDescent="0.35">
      <c r="B18" s="7">
        <v>14</v>
      </c>
      <c r="C18" s="8" t="s">
        <v>33</v>
      </c>
      <c r="D18" s="7">
        <v>58</v>
      </c>
      <c r="E18" s="7">
        <v>52</v>
      </c>
      <c r="H18" s="7">
        <f t="shared" si="0"/>
        <v>14</v>
      </c>
      <c r="I18" s="8" t="str">
        <f t="shared" si="1"/>
        <v>Nanda Putra</v>
      </c>
      <c r="J18" s="9">
        <f t="shared" si="2"/>
        <v>6.9767441860465115E-2</v>
      </c>
      <c r="K18" s="9">
        <f t="shared" si="3"/>
        <v>4.7619047619047616E-2</v>
      </c>
      <c r="M18" s="3" t="s">
        <v>34</v>
      </c>
      <c r="N18" s="3"/>
      <c r="O18" s="12">
        <f>AB25</f>
        <v>2.8812269118582199</v>
      </c>
      <c r="Q18" s="7">
        <f t="shared" si="4"/>
        <v>14</v>
      </c>
      <c r="R18" s="9">
        <f t="shared" si="5"/>
        <v>1.0814184552740493</v>
      </c>
      <c r="S18" s="9">
        <f t="shared" si="6"/>
        <v>0.56580288319275351</v>
      </c>
      <c r="T18" s="9">
        <f t="shared" si="7"/>
        <v>1.2647358565485078</v>
      </c>
      <c r="U18" s="9">
        <f t="shared" si="8"/>
        <v>0.56580288319275351</v>
      </c>
      <c r="V18" s="7">
        <f t="shared" si="9"/>
        <v>2</v>
      </c>
      <c r="X18" s="7">
        <f t="shared" si="10"/>
        <v>14</v>
      </c>
      <c r="Y18" s="9">
        <f t="shared" si="11"/>
        <v>1.2145345173704096</v>
      </c>
      <c r="Z18" s="9">
        <f t="shared" si="12"/>
        <v>8.5237153559252474E-2</v>
      </c>
      <c r="AA18" s="9">
        <f t="shared" si="13"/>
        <v>0.8817523042740234</v>
      </c>
      <c r="AB18" s="9">
        <f t="shared" si="14"/>
        <v>8.5237153559252474E-2</v>
      </c>
      <c r="AC18" s="7">
        <f t="shared" si="15"/>
        <v>2</v>
      </c>
    </row>
    <row r="19" spans="2:29" x14ac:dyDescent="0.35">
      <c r="B19" s="7">
        <v>15</v>
      </c>
      <c r="C19" s="8" t="s">
        <v>35</v>
      </c>
      <c r="D19" s="7">
        <v>77</v>
      </c>
      <c r="E19" s="7">
        <v>70</v>
      </c>
      <c r="H19" s="7">
        <f t="shared" si="0"/>
        <v>15</v>
      </c>
      <c r="I19" s="8" t="str">
        <f t="shared" si="1"/>
        <v>Oktavia Rahma</v>
      </c>
      <c r="J19" s="9">
        <f t="shared" si="2"/>
        <v>0.51162790697674421</v>
      </c>
      <c r="K19" s="9">
        <f t="shared" si="3"/>
        <v>0.47619047619047616</v>
      </c>
      <c r="M19" s="3" t="s">
        <v>36</v>
      </c>
      <c r="N19" s="3"/>
      <c r="O19" s="12">
        <f>O17-O18</f>
        <v>1.0195020058545938</v>
      </c>
      <c r="Q19" s="7">
        <f t="shared" si="4"/>
        <v>15</v>
      </c>
      <c r="R19" s="9">
        <f t="shared" si="5"/>
        <v>0.46595531557050296</v>
      </c>
      <c r="S19" s="9">
        <f t="shared" si="6"/>
        <v>5.2251554566283866E-2</v>
      </c>
      <c r="T19" s="9">
        <f t="shared" si="7"/>
        <v>0.64961376235982482</v>
      </c>
      <c r="U19" s="9">
        <f t="shared" si="8"/>
        <v>5.2251554566283866E-2</v>
      </c>
      <c r="V19" s="7">
        <f t="shared" si="9"/>
        <v>2</v>
      </c>
      <c r="X19" s="7">
        <f t="shared" si="10"/>
        <v>15</v>
      </c>
      <c r="Y19" s="9">
        <f t="shared" si="11"/>
        <v>0.59908540573350377</v>
      </c>
      <c r="Z19" s="9">
        <f t="shared" si="12"/>
        <v>0.53277736766018013</v>
      </c>
      <c r="AA19" s="9">
        <f t="shared" si="13"/>
        <v>0.26626018032600163</v>
      </c>
      <c r="AB19" s="9">
        <f t="shared" si="14"/>
        <v>0.26626018032600163</v>
      </c>
      <c r="AC19" s="7">
        <f t="shared" si="15"/>
        <v>3</v>
      </c>
    </row>
    <row r="20" spans="2:29" x14ac:dyDescent="0.35">
      <c r="B20" s="7">
        <v>16</v>
      </c>
      <c r="C20" s="8" t="s">
        <v>37</v>
      </c>
      <c r="D20" s="7">
        <v>83</v>
      </c>
      <c r="E20" s="7">
        <v>76</v>
      </c>
      <c r="H20" s="7">
        <f t="shared" si="0"/>
        <v>16</v>
      </c>
      <c r="I20" s="8" t="str">
        <f t="shared" si="1"/>
        <v>Putra Wijaya</v>
      </c>
      <c r="J20" s="9">
        <f t="shared" si="2"/>
        <v>0.65116279069767447</v>
      </c>
      <c r="K20" s="9">
        <f t="shared" si="3"/>
        <v>0.61904761904761907</v>
      </c>
      <c r="M20" s="3" t="s">
        <v>38</v>
      </c>
      <c r="N20" s="3"/>
      <c r="O20" s="2" t="str">
        <f>IF(O19&gt;0,"S &gt; 0 -&gt; iterasi dihentikan, medoid baru dipakai","S &lt;= 0 -&gt; lanjutkan iterasi dengan medoid baru")</f>
        <v>S &gt; 0 -&gt; iterasi dihentikan, medoid baru dipakai</v>
      </c>
      <c r="P20" s="2"/>
      <c r="Q20" s="2"/>
      <c r="R20" s="9">
        <f t="shared" si="5"/>
        <v>0.26626018032600163</v>
      </c>
      <c r="S20" s="9">
        <f t="shared" si="6"/>
        <v>0.24978206954601589</v>
      </c>
      <c r="T20" s="9">
        <f t="shared" si="7"/>
        <v>0.45001318678139501</v>
      </c>
      <c r="U20" s="9">
        <f t="shared" si="8"/>
        <v>0.24978206954601589</v>
      </c>
      <c r="V20" s="7">
        <f t="shared" si="9"/>
        <v>2</v>
      </c>
      <c r="X20" s="7">
        <f t="shared" si="10"/>
        <v>16</v>
      </c>
      <c r="Y20" s="9">
        <f t="shared" si="11"/>
        <v>0.39939027048900244</v>
      </c>
      <c r="Z20" s="9">
        <f t="shared" si="12"/>
        <v>0.7321889065781938</v>
      </c>
      <c r="AA20" s="9">
        <f t="shared" si="13"/>
        <v>6.6565045081500351E-2</v>
      </c>
      <c r="AB20" s="9">
        <f t="shared" si="14"/>
        <v>6.6565045081500351E-2</v>
      </c>
      <c r="AC20" s="7">
        <f t="shared" si="15"/>
        <v>3</v>
      </c>
    </row>
    <row r="21" spans="2:29" ht="18" customHeight="1" x14ac:dyDescent="0.35">
      <c r="B21" s="7">
        <v>17</v>
      </c>
      <c r="C21" s="8" t="s">
        <v>39</v>
      </c>
      <c r="D21" s="7">
        <v>67</v>
      </c>
      <c r="E21" s="7">
        <v>63</v>
      </c>
      <c r="H21" s="7">
        <f t="shared" si="0"/>
        <v>17</v>
      </c>
      <c r="I21" s="8" t="str">
        <f t="shared" si="1"/>
        <v>Qory Amelia</v>
      </c>
      <c r="J21" s="9">
        <f t="shared" si="2"/>
        <v>0.27906976744186046</v>
      </c>
      <c r="K21" s="9">
        <f t="shared" si="3"/>
        <v>0.30952380952380953</v>
      </c>
      <c r="M21" s="4" t="s">
        <v>40</v>
      </c>
      <c r="N21" s="4"/>
      <c r="O21" s="4"/>
      <c r="Q21" s="7">
        <f>H21</f>
        <v>17</v>
      </c>
      <c r="R21" s="9">
        <f t="shared" si="5"/>
        <v>0.74934620863804768</v>
      </c>
      <c r="S21" s="9">
        <f t="shared" si="6"/>
        <v>0.23456655293161266</v>
      </c>
      <c r="T21" s="9">
        <f t="shared" si="7"/>
        <v>0.93172193299399708</v>
      </c>
      <c r="U21" s="9">
        <f t="shared" si="8"/>
        <v>0.23456655293161266</v>
      </c>
      <c r="V21" s="7">
        <f t="shared" si="9"/>
        <v>2</v>
      </c>
      <c r="X21" s="7">
        <f t="shared" si="10"/>
        <v>17</v>
      </c>
      <c r="Y21" s="9">
        <f t="shared" si="11"/>
        <v>0.88222523768698613</v>
      </c>
      <c r="Z21" s="9">
        <f t="shared" si="12"/>
        <v>0.2505633460577304</v>
      </c>
      <c r="AA21" s="9">
        <f t="shared" si="13"/>
        <v>0.55025528110440247</v>
      </c>
      <c r="AB21" s="9">
        <f t="shared" si="14"/>
        <v>0.2505633460577304</v>
      </c>
      <c r="AC21" s="7">
        <f t="shared" si="15"/>
        <v>2</v>
      </c>
    </row>
    <row r="22" spans="2:29" x14ac:dyDescent="0.35">
      <c r="B22" s="7">
        <v>18</v>
      </c>
      <c r="C22" s="8" t="s">
        <v>41</v>
      </c>
      <c r="D22" s="7">
        <v>91</v>
      </c>
      <c r="E22" s="7">
        <v>84</v>
      </c>
      <c r="H22" s="7">
        <f t="shared" si="0"/>
        <v>18</v>
      </c>
      <c r="I22" s="8" t="str">
        <f t="shared" si="1"/>
        <v>Rizki Maulana</v>
      </c>
      <c r="J22" s="9">
        <f t="shared" si="2"/>
        <v>0.83720930232558144</v>
      </c>
      <c r="K22" s="9">
        <f t="shared" si="3"/>
        <v>0.80952380952380953</v>
      </c>
      <c r="M22" s="6" t="s">
        <v>42</v>
      </c>
      <c r="N22" s="6" t="s">
        <v>43</v>
      </c>
      <c r="O22" s="6" t="s">
        <v>44</v>
      </c>
      <c r="Q22" s="7">
        <f>H22</f>
        <v>18</v>
      </c>
      <c r="R22" s="9">
        <f t="shared" si="5"/>
        <v>0</v>
      </c>
      <c r="S22" s="9">
        <f t="shared" si="6"/>
        <v>0.51575598723021632</v>
      </c>
      <c r="T22" s="9">
        <f t="shared" si="7"/>
        <v>0.18419822293194826</v>
      </c>
      <c r="U22" s="9">
        <f t="shared" si="8"/>
        <v>0</v>
      </c>
      <c r="V22" s="7">
        <f t="shared" si="9"/>
        <v>1</v>
      </c>
      <c r="X22" s="7">
        <f t="shared" si="10"/>
        <v>18</v>
      </c>
      <c r="Y22" s="9">
        <f t="shared" si="11"/>
        <v>0.13313009016300079</v>
      </c>
      <c r="Z22" s="9">
        <f t="shared" si="12"/>
        <v>0.99824734902269874</v>
      </c>
      <c r="AA22" s="9">
        <f t="shared" si="13"/>
        <v>0.1996951352445013</v>
      </c>
      <c r="AB22" s="9">
        <f t="shared" si="14"/>
        <v>0.13313009016300079</v>
      </c>
      <c r="AC22" s="7">
        <f t="shared" si="15"/>
        <v>1</v>
      </c>
    </row>
    <row r="23" spans="2:29" x14ac:dyDescent="0.35">
      <c r="B23" s="7">
        <v>19</v>
      </c>
      <c r="C23" s="8" t="s">
        <v>45</v>
      </c>
      <c r="D23" s="7">
        <v>75</v>
      </c>
      <c r="E23" s="7">
        <v>69</v>
      </c>
      <c r="H23" s="7">
        <f t="shared" si="0"/>
        <v>19</v>
      </c>
      <c r="I23" s="8" t="str">
        <f t="shared" si="1"/>
        <v>Salsabila Nur</v>
      </c>
      <c r="J23" s="9">
        <f t="shared" si="2"/>
        <v>0.46511627906976744</v>
      </c>
      <c r="K23" s="9">
        <f t="shared" si="3"/>
        <v>0.45238095238095238</v>
      </c>
      <c r="M23" s="13">
        <v>1</v>
      </c>
      <c r="N23" s="13" t="s">
        <v>46</v>
      </c>
      <c r="O23" s="10" t="s">
        <v>47</v>
      </c>
      <c r="Q23" s="7">
        <f>H23</f>
        <v>19</v>
      </c>
      <c r="R23" s="9">
        <f t="shared" si="5"/>
        <v>0.51575598723021632</v>
      </c>
      <c r="S23" s="9">
        <f t="shared" si="6"/>
        <v>0</v>
      </c>
      <c r="T23" s="9">
        <f t="shared" si="7"/>
        <v>0.69893297335575433</v>
      </c>
      <c r="U23" s="9">
        <f t="shared" si="8"/>
        <v>0</v>
      </c>
      <c r="V23" s="7">
        <f t="shared" si="9"/>
        <v>2</v>
      </c>
      <c r="X23" s="7">
        <f t="shared" si="10"/>
        <v>19</v>
      </c>
      <c r="Y23" s="9">
        <f t="shared" si="11"/>
        <v>0.64883100968804142</v>
      </c>
      <c r="Z23" s="9">
        <f t="shared" si="12"/>
        <v>0.48249197890218409</v>
      </c>
      <c r="AA23" s="9">
        <f t="shared" si="13"/>
        <v>0.3162303837566296</v>
      </c>
      <c r="AB23" s="9">
        <f t="shared" si="14"/>
        <v>0.3162303837566296</v>
      </c>
      <c r="AC23" s="7">
        <f t="shared" si="15"/>
        <v>3</v>
      </c>
    </row>
    <row r="24" spans="2:29" x14ac:dyDescent="0.35">
      <c r="B24" s="7">
        <v>20</v>
      </c>
      <c r="C24" s="8" t="s">
        <v>48</v>
      </c>
      <c r="D24" s="7">
        <v>96</v>
      </c>
      <c r="E24" s="7">
        <v>90</v>
      </c>
      <c r="H24" s="7">
        <f t="shared" si="0"/>
        <v>20</v>
      </c>
      <c r="I24" s="8" t="str">
        <f t="shared" si="1"/>
        <v>Tegar Pratama</v>
      </c>
      <c r="J24" s="9">
        <f t="shared" si="2"/>
        <v>0.95348837209302328</v>
      </c>
      <c r="K24" s="9">
        <f t="shared" si="3"/>
        <v>0.95238095238095233</v>
      </c>
      <c r="M24" s="13">
        <v>2</v>
      </c>
      <c r="N24" s="13" t="s">
        <v>49</v>
      </c>
      <c r="O24" s="10" t="s">
        <v>50</v>
      </c>
      <c r="Q24" s="7">
        <f>H24</f>
        <v>20</v>
      </c>
      <c r="R24" s="9">
        <f t="shared" si="5"/>
        <v>0.18419822293194826</v>
      </c>
      <c r="S24" s="9">
        <f t="shared" si="6"/>
        <v>0.69893297335575433</v>
      </c>
      <c r="T24" s="9">
        <f t="shared" si="7"/>
        <v>0</v>
      </c>
      <c r="U24" s="9">
        <f t="shared" si="8"/>
        <v>0</v>
      </c>
      <c r="V24" s="7">
        <f t="shared" si="9"/>
        <v>3</v>
      </c>
      <c r="X24" s="7">
        <f t="shared" si="10"/>
        <v>20</v>
      </c>
      <c r="Y24" s="9">
        <f t="shared" si="11"/>
        <v>5.2994401390943038E-2</v>
      </c>
      <c r="Z24" s="9">
        <f t="shared" si="12"/>
        <v>1.1812552054255385</v>
      </c>
      <c r="AA24" s="9">
        <f t="shared" si="13"/>
        <v>0.38350154088422578</v>
      </c>
      <c r="AB24" s="9">
        <f t="shared" si="14"/>
        <v>5.2994401390943038E-2</v>
      </c>
      <c r="AC24" s="7">
        <f t="shared" si="15"/>
        <v>1</v>
      </c>
    </row>
    <row r="25" spans="2:29" ht="15" customHeight="1" x14ac:dyDescent="0.35">
      <c r="B25" s="14" t="s">
        <v>51</v>
      </c>
      <c r="C25" s="15"/>
      <c r="D25" s="15">
        <f>MIN(D5:D24)</f>
        <v>55</v>
      </c>
      <c r="E25" s="15">
        <f>MIN(E5:E24)</f>
        <v>50</v>
      </c>
      <c r="M25" s="13">
        <v>3</v>
      </c>
      <c r="N25" s="13" t="s">
        <v>52</v>
      </c>
      <c r="O25" s="10" t="s">
        <v>53</v>
      </c>
      <c r="Q25" s="1" t="s">
        <v>54</v>
      </c>
      <c r="R25" s="1"/>
      <c r="S25" s="1"/>
      <c r="T25" s="1"/>
      <c r="U25" s="16">
        <f>SUM(U5:U24)</f>
        <v>3.9007289177128137</v>
      </c>
      <c r="V25" s="15"/>
      <c r="X25" s="1" t="s">
        <v>54</v>
      </c>
      <c r="Y25" s="1"/>
      <c r="Z25" s="1"/>
      <c r="AA25" s="1"/>
      <c r="AB25" s="16">
        <f>SUM(AB5:AB24)</f>
        <v>2.8812269118582199</v>
      </c>
      <c r="AC25" s="15"/>
    </row>
    <row r="26" spans="2:29" x14ac:dyDescent="0.35">
      <c r="B26" s="14" t="s">
        <v>55</v>
      </c>
      <c r="C26" s="15"/>
      <c r="D26" s="15">
        <f>MAX(D5:D24)</f>
        <v>98</v>
      </c>
      <c r="E26" s="15">
        <f>MAX(E5:E24)</f>
        <v>92</v>
      </c>
    </row>
    <row r="29" spans="2:29" ht="18" customHeight="1" x14ac:dyDescent="0.35">
      <c r="B29" s="4" t="s">
        <v>56</v>
      </c>
      <c r="C29" s="4"/>
      <c r="D29" s="4"/>
      <c r="E29" s="4"/>
      <c r="F29" s="4"/>
      <c r="G29" s="4"/>
      <c r="I29" s="4" t="s">
        <v>57</v>
      </c>
      <c r="J29" s="4"/>
      <c r="K29" s="4"/>
    </row>
    <row r="30" spans="2:29" x14ac:dyDescent="0.35">
      <c r="B30" s="6" t="s">
        <v>6</v>
      </c>
      <c r="C30" s="6" t="s">
        <v>7</v>
      </c>
      <c r="D30" s="6" t="s">
        <v>8</v>
      </c>
      <c r="E30" s="6" t="s">
        <v>9</v>
      </c>
      <c r="F30" s="6" t="s">
        <v>16</v>
      </c>
      <c r="G30" s="6" t="s">
        <v>44</v>
      </c>
      <c r="I30" s="6" t="s">
        <v>43</v>
      </c>
      <c r="J30" s="6" t="s">
        <v>58</v>
      </c>
      <c r="K30" s="6" t="s">
        <v>59</v>
      </c>
    </row>
    <row r="31" spans="2:29" x14ac:dyDescent="0.35">
      <c r="B31" s="7">
        <f t="shared" ref="B31:E50" si="16">B5</f>
        <v>1</v>
      </c>
      <c r="C31" s="8" t="str">
        <f t="shared" si="16"/>
        <v>Ahmad Fadli</v>
      </c>
      <c r="D31" s="7">
        <f t="shared" si="16"/>
        <v>95</v>
      </c>
      <c r="E31" s="7">
        <f t="shared" si="16"/>
        <v>88</v>
      </c>
      <c r="F31" s="7">
        <f t="shared" ref="F31:F50" si="17">AC5</f>
        <v>1</v>
      </c>
      <c r="G31" s="8" t="str">
        <f t="shared" ref="G31:G50" si="18">VLOOKUP(F31,$M$23:$O$25,3,0)</f>
        <v>Sangat Baik</v>
      </c>
      <c r="I31" s="7" t="str">
        <f t="shared" ref="I31:J33" si="19">N23</f>
        <v>C1</v>
      </c>
      <c r="J31" s="8" t="str">
        <f t="shared" si="19"/>
        <v>Sangat Baik</v>
      </c>
      <c r="K31" s="7">
        <f>COUNTIF($F$31:$F$50,$M23)</f>
        <v>5</v>
      </c>
    </row>
    <row r="32" spans="2:29" x14ac:dyDescent="0.35">
      <c r="B32" s="7">
        <f t="shared" si="16"/>
        <v>2</v>
      </c>
      <c r="C32" s="8" t="str">
        <f t="shared" si="16"/>
        <v>Bella Anjani</v>
      </c>
      <c r="D32" s="7">
        <f t="shared" si="16"/>
        <v>60</v>
      </c>
      <c r="E32" s="7">
        <f t="shared" si="16"/>
        <v>55</v>
      </c>
      <c r="F32" s="7">
        <f t="shared" si="17"/>
        <v>2</v>
      </c>
      <c r="G32" s="8" t="str">
        <f t="shared" si="18"/>
        <v>Kurang Baik</v>
      </c>
      <c r="I32" s="7" t="str">
        <f t="shared" si="19"/>
        <v>C2</v>
      </c>
      <c r="J32" s="8" t="str">
        <f t="shared" si="19"/>
        <v>Kurang Baik</v>
      </c>
      <c r="K32" s="7">
        <f>COUNTIF($F$31:$F$50,$M24)</f>
        <v>7</v>
      </c>
    </row>
    <row r="33" spans="2:11" x14ac:dyDescent="0.35">
      <c r="B33" s="7">
        <f t="shared" si="16"/>
        <v>3</v>
      </c>
      <c r="C33" s="8" t="str">
        <f t="shared" si="16"/>
        <v>Citra Dewi</v>
      </c>
      <c r="D33" s="7">
        <f t="shared" si="16"/>
        <v>85</v>
      </c>
      <c r="E33" s="7">
        <f t="shared" si="16"/>
        <v>78</v>
      </c>
      <c r="F33" s="7">
        <f t="shared" si="17"/>
        <v>3</v>
      </c>
      <c r="G33" s="8" t="str">
        <f t="shared" si="18"/>
        <v>Cukup Baik</v>
      </c>
      <c r="I33" s="7" t="str">
        <f t="shared" si="19"/>
        <v>C3</v>
      </c>
      <c r="J33" s="8" t="str">
        <f t="shared" si="19"/>
        <v>Cukup Baik</v>
      </c>
      <c r="K33" s="7">
        <f>COUNTIF($F$31:$F$50,$M25)</f>
        <v>8</v>
      </c>
    </row>
    <row r="34" spans="2:11" ht="15" customHeight="1" x14ac:dyDescent="0.35">
      <c r="B34" s="7">
        <f t="shared" si="16"/>
        <v>4</v>
      </c>
      <c r="C34" s="8" t="str">
        <f t="shared" si="16"/>
        <v>Dimas Saputra</v>
      </c>
      <c r="D34" s="7">
        <f t="shared" si="16"/>
        <v>70</v>
      </c>
      <c r="E34" s="7">
        <f t="shared" si="16"/>
        <v>65</v>
      </c>
      <c r="F34" s="7">
        <f t="shared" si="17"/>
        <v>2</v>
      </c>
      <c r="G34" s="8" t="str">
        <f t="shared" si="18"/>
        <v>Kurang Baik</v>
      </c>
      <c r="I34" s="1" t="s">
        <v>60</v>
      </c>
      <c r="J34" s="1"/>
      <c r="K34" s="15">
        <f>SUM(K31:K33)</f>
        <v>20</v>
      </c>
    </row>
    <row r="35" spans="2:11" x14ac:dyDescent="0.35">
      <c r="B35" s="7">
        <f t="shared" si="16"/>
        <v>5</v>
      </c>
      <c r="C35" s="8" t="str">
        <f t="shared" si="16"/>
        <v>Eka Wulandari</v>
      </c>
      <c r="D35" s="7">
        <f t="shared" si="16"/>
        <v>90</v>
      </c>
      <c r="E35" s="7">
        <f t="shared" si="16"/>
        <v>82</v>
      </c>
      <c r="F35" s="7">
        <f t="shared" si="17"/>
        <v>3</v>
      </c>
      <c r="G35" s="8" t="str">
        <f t="shared" si="18"/>
        <v>Cukup Baik</v>
      </c>
    </row>
    <row r="36" spans="2:11" x14ac:dyDescent="0.35">
      <c r="B36" s="7">
        <f t="shared" si="16"/>
        <v>6</v>
      </c>
      <c r="C36" s="8" t="str">
        <f t="shared" si="16"/>
        <v>Fajar Ramadhan</v>
      </c>
      <c r="D36" s="7">
        <f t="shared" si="16"/>
        <v>65</v>
      </c>
      <c r="E36" s="7">
        <f t="shared" si="16"/>
        <v>60</v>
      </c>
      <c r="F36" s="7">
        <f t="shared" si="17"/>
        <v>2</v>
      </c>
      <c r="G36" s="8" t="str">
        <f t="shared" si="18"/>
        <v>Kurang Baik</v>
      </c>
    </row>
    <row r="37" spans="2:11" x14ac:dyDescent="0.35">
      <c r="B37" s="7">
        <f t="shared" si="16"/>
        <v>7</v>
      </c>
      <c r="C37" s="8" t="str">
        <f t="shared" si="16"/>
        <v>Gita Permata</v>
      </c>
      <c r="D37" s="7">
        <f t="shared" si="16"/>
        <v>98</v>
      </c>
      <c r="E37" s="7">
        <f t="shared" si="16"/>
        <v>92</v>
      </c>
      <c r="F37" s="7">
        <f t="shared" si="17"/>
        <v>1</v>
      </c>
      <c r="G37" s="8" t="str">
        <f t="shared" si="18"/>
        <v>Sangat Baik</v>
      </c>
    </row>
    <row r="38" spans="2:11" x14ac:dyDescent="0.35">
      <c r="B38" s="7">
        <f t="shared" si="16"/>
        <v>8</v>
      </c>
      <c r="C38" s="8" t="str">
        <f t="shared" si="16"/>
        <v>Hadi Kurniawan</v>
      </c>
      <c r="D38" s="7">
        <f t="shared" si="16"/>
        <v>55</v>
      </c>
      <c r="E38" s="7">
        <f t="shared" si="16"/>
        <v>50</v>
      </c>
      <c r="F38" s="7">
        <f t="shared" si="17"/>
        <v>2</v>
      </c>
      <c r="G38" s="8" t="str">
        <f t="shared" si="18"/>
        <v>Kurang Baik</v>
      </c>
    </row>
    <row r="39" spans="2:11" x14ac:dyDescent="0.35">
      <c r="B39" s="7">
        <f t="shared" si="16"/>
        <v>9</v>
      </c>
      <c r="C39" s="8" t="str">
        <f t="shared" si="16"/>
        <v>Indah Lestari</v>
      </c>
      <c r="D39" s="7">
        <f t="shared" si="16"/>
        <v>80</v>
      </c>
      <c r="E39" s="7">
        <f t="shared" si="16"/>
        <v>75</v>
      </c>
      <c r="F39" s="7">
        <f t="shared" si="17"/>
        <v>3</v>
      </c>
      <c r="G39" s="8" t="str">
        <f t="shared" si="18"/>
        <v>Cukup Baik</v>
      </c>
    </row>
    <row r="40" spans="2:11" x14ac:dyDescent="0.35">
      <c r="B40" s="7">
        <f t="shared" si="16"/>
        <v>10</v>
      </c>
      <c r="C40" s="8" t="str">
        <f t="shared" si="16"/>
        <v>Joko Susilo</v>
      </c>
      <c r="D40" s="7">
        <f t="shared" si="16"/>
        <v>72</v>
      </c>
      <c r="E40" s="7">
        <f t="shared" si="16"/>
        <v>68</v>
      </c>
      <c r="F40" s="7">
        <f t="shared" si="17"/>
        <v>3</v>
      </c>
      <c r="G40" s="8" t="str">
        <f t="shared" si="18"/>
        <v>Cukup Baik</v>
      </c>
    </row>
    <row r="41" spans="2:11" x14ac:dyDescent="0.35">
      <c r="B41" s="7">
        <f t="shared" si="16"/>
        <v>11</v>
      </c>
      <c r="C41" s="8" t="str">
        <f t="shared" si="16"/>
        <v>Kartika Sari</v>
      </c>
      <c r="D41" s="7">
        <f t="shared" si="16"/>
        <v>88</v>
      </c>
      <c r="E41" s="7">
        <f t="shared" si="16"/>
        <v>80</v>
      </c>
      <c r="F41" s="7">
        <f t="shared" si="17"/>
        <v>3</v>
      </c>
      <c r="G41" s="8" t="str">
        <f t="shared" si="18"/>
        <v>Cukup Baik</v>
      </c>
    </row>
    <row r="42" spans="2:11" x14ac:dyDescent="0.35">
      <c r="B42" s="7">
        <f t="shared" si="16"/>
        <v>12</v>
      </c>
      <c r="C42" s="8" t="str">
        <f t="shared" si="16"/>
        <v>Lutfi Hakim</v>
      </c>
      <c r="D42" s="7">
        <f t="shared" si="16"/>
        <v>62</v>
      </c>
      <c r="E42" s="7">
        <f t="shared" si="16"/>
        <v>58</v>
      </c>
      <c r="F42" s="7">
        <f t="shared" si="17"/>
        <v>2</v>
      </c>
      <c r="G42" s="8" t="str">
        <f t="shared" si="18"/>
        <v>Kurang Baik</v>
      </c>
    </row>
    <row r="43" spans="2:11" x14ac:dyDescent="0.35">
      <c r="B43" s="7">
        <f t="shared" si="16"/>
        <v>13</v>
      </c>
      <c r="C43" s="8" t="str">
        <f t="shared" si="16"/>
        <v>Mira Anggraini</v>
      </c>
      <c r="D43" s="7">
        <f t="shared" si="16"/>
        <v>93</v>
      </c>
      <c r="E43" s="7">
        <f t="shared" si="16"/>
        <v>85</v>
      </c>
      <c r="F43" s="7">
        <f t="shared" si="17"/>
        <v>1</v>
      </c>
      <c r="G43" s="8" t="str">
        <f t="shared" si="18"/>
        <v>Sangat Baik</v>
      </c>
    </row>
    <row r="44" spans="2:11" x14ac:dyDescent="0.35">
      <c r="B44" s="7">
        <f t="shared" si="16"/>
        <v>14</v>
      </c>
      <c r="C44" s="8" t="str">
        <f t="shared" si="16"/>
        <v>Nanda Putra</v>
      </c>
      <c r="D44" s="7">
        <f t="shared" si="16"/>
        <v>58</v>
      </c>
      <c r="E44" s="7">
        <f t="shared" si="16"/>
        <v>52</v>
      </c>
      <c r="F44" s="7">
        <f t="shared" si="17"/>
        <v>2</v>
      </c>
      <c r="G44" s="8" t="str">
        <f t="shared" si="18"/>
        <v>Kurang Baik</v>
      </c>
    </row>
    <row r="45" spans="2:11" x14ac:dyDescent="0.35">
      <c r="B45" s="7">
        <f t="shared" si="16"/>
        <v>15</v>
      </c>
      <c r="C45" s="8" t="str">
        <f t="shared" si="16"/>
        <v>Oktavia Rahma</v>
      </c>
      <c r="D45" s="7">
        <f t="shared" si="16"/>
        <v>77</v>
      </c>
      <c r="E45" s="7">
        <f t="shared" si="16"/>
        <v>70</v>
      </c>
      <c r="F45" s="7">
        <f t="shared" si="17"/>
        <v>3</v>
      </c>
      <c r="G45" s="8" t="str">
        <f t="shared" si="18"/>
        <v>Cukup Baik</v>
      </c>
    </row>
    <row r="46" spans="2:11" x14ac:dyDescent="0.35">
      <c r="B46" s="7">
        <f t="shared" si="16"/>
        <v>16</v>
      </c>
      <c r="C46" s="8" t="str">
        <f t="shared" si="16"/>
        <v>Putra Wijaya</v>
      </c>
      <c r="D46" s="7">
        <f t="shared" si="16"/>
        <v>83</v>
      </c>
      <c r="E46" s="7">
        <f t="shared" si="16"/>
        <v>76</v>
      </c>
      <c r="F46" s="7">
        <f t="shared" si="17"/>
        <v>3</v>
      </c>
      <c r="G46" s="8" t="str">
        <f t="shared" si="18"/>
        <v>Cukup Baik</v>
      </c>
    </row>
    <row r="47" spans="2:11" x14ac:dyDescent="0.35">
      <c r="B47" s="7">
        <f t="shared" si="16"/>
        <v>17</v>
      </c>
      <c r="C47" s="8" t="str">
        <f t="shared" si="16"/>
        <v>Qory Amelia</v>
      </c>
      <c r="D47" s="7">
        <f t="shared" si="16"/>
        <v>67</v>
      </c>
      <c r="E47" s="7">
        <f t="shared" si="16"/>
        <v>63</v>
      </c>
      <c r="F47" s="7">
        <f t="shared" si="17"/>
        <v>2</v>
      </c>
      <c r="G47" s="8" t="str">
        <f t="shared" si="18"/>
        <v>Kurang Baik</v>
      </c>
    </row>
    <row r="48" spans="2:11" x14ac:dyDescent="0.35">
      <c r="B48" s="7">
        <f t="shared" si="16"/>
        <v>18</v>
      </c>
      <c r="C48" s="8" t="str">
        <f t="shared" si="16"/>
        <v>Rizki Maulana</v>
      </c>
      <c r="D48" s="7">
        <f t="shared" si="16"/>
        <v>91</v>
      </c>
      <c r="E48" s="7">
        <f t="shared" si="16"/>
        <v>84</v>
      </c>
      <c r="F48" s="7">
        <f t="shared" si="17"/>
        <v>1</v>
      </c>
      <c r="G48" s="8" t="str">
        <f t="shared" si="18"/>
        <v>Sangat Baik</v>
      </c>
    </row>
    <row r="49" spans="2:7" x14ac:dyDescent="0.35">
      <c r="B49" s="7">
        <f t="shared" si="16"/>
        <v>19</v>
      </c>
      <c r="C49" s="8" t="str">
        <f t="shared" si="16"/>
        <v>Salsabila Nur</v>
      </c>
      <c r="D49" s="7">
        <f t="shared" si="16"/>
        <v>75</v>
      </c>
      <c r="E49" s="7">
        <f t="shared" si="16"/>
        <v>69</v>
      </c>
      <c r="F49" s="7">
        <f t="shared" si="17"/>
        <v>3</v>
      </c>
      <c r="G49" s="8" t="str">
        <f t="shared" si="18"/>
        <v>Cukup Baik</v>
      </c>
    </row>
    <row r="50" spans="2:7" x14ac:dyDescent="0.35">
      <c r="B50" s="7">
        <f t="shared" si="16"/>
        <v>20</v>
      </c>
      <c r="C50" s="8" t="str">
        <f t="shared" si="16"/>
        <v>Tegar Pratama</v>
      </c>
      <c r="D50" s="7">
        <f t="shared" si="16"/>
        <v>96</v>
      </c>
      <c r="E50" s="7">
        <f t="shared" si="16"/>
        <v>90</v>
      </c>
      <c r="F50" s="7">
        <f t="shared" si="17"/>
        <v>1</v>
      </c>
      <c r="G50" s="8" t="str">
        <f t="shared" si="18"/>
        <v>Sangat Baik</v>
      </c>
    </row>
    <row r="51" spans="2:7" x14ac:dyDescent="0.35">
      <c r="B51" s="14" t="s">
        <v>51</v>
      </c>
      <c r="C51" s="15"/>
      <c r="D51" s="15">
        <f>MIN(D31:D50)</f>
        <v>55</v>
      </c>
      <c r="E51" s="15">
        <f>MIN(E31:E50)</f>
        <v>50</v>
      </c>
      <c r="F51" s="15"/>
      <c r="G51" s="15"/>
    </row>
    <row r="52" spans="2:7" x14ac:dyDescent="0.35">
      <c r="B52" s="14" t="s">
        <v>55</v>
      </c>
      <c r="C52" s="15"/>
      <c r="D52" s="15">
        <f>MAX(D31:D50)</f>
        <v>98</v>
      </c>
      <c r="E52" s="15">
        <f>MAX(E31:E50)</f>
        <v>92</v>
      </c>
      <c r="F52" s="15"/>
      <c r="G52" s="15"/>
    </row>
  </sheetData>
  <mergeCells count="19">
    <mergeCell ref="B29:G29"/>
    <mergeCell ref="I29:K29"/>
    <mergeCell ref="I34:J34"/>
    <mergeCell ref="M20:N20"/>
    <mergeCell ref="O20:Q20"/>
    <mergeCell ref="M21:O21"/>
    <mergeCell ref="Q25:T25"/>
    <mergeCell ref="X25:AA25"/>
    <mergeCell ref="M10:O10"/>
    <mergeCell ref="M16:O16"/>
    <mergeCell ref="M17:N17"/>
    <mergeCell ref="M18:N18"/>
    <mergeCell ref="M19:N19"/>
    <mergeCell ref="B1:AC1"/>
    <mergeCell ref="B3:E3"/>
    <mergeCell ref="H3:K3"/>
    <mergeCell ref="M3:O3"/>
    <mergeCell ref="Q3:V3"/>
    <mergeCell ref="X3:AC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K-Medoids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Personal</cp:lastModifiedBy>
  <cp:revision>1</cp:revision>
  <dcterms:created xsi:type="dcterms:W3CDTF">2026-06-30T19:20:13Z</dcterms:created>
  <dcterms:modified xsi:type="dcterms:W3CDTF">2026-06-30T19:22:25Z</dcterms:modified>
  <dc:language>en-US</dc:language>
</cp:coreProperties>
</file>